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Web_Dev\ClaudeSkills\hwp-autofill\"/>
    </mc:Choice>
  </mc:AlternateContent>
  <xr:revisionPtr revIDLastSave="0" documentId="8_{DC1CBAFF-A5D8-40EC-A628-C1985FDF3B56}" xr6:coauthVersionLast="47" xr6:coauthVersionMax="47" xr10:uidLastSave="{00000000-0000-0000-0000-000000000000}"/>
  <bookViews>
    <workbookView xWindow="-38520" yWindow="30" windowWidth="38640" windowHeight="21840" activeTab="1" xr2:uid="{A69EB244-8E03-494D-A415-2A99BDC04988}"/>
  </bookViews>
  <sheets>
    <sheet name="탬플릿-기준 (3)" sheetId="22" r:id="rId1"/>
    <sheet name="AFX1-리터러시" sheetId="15" r:id="rId2"/>
    <sheet name="AFX2-AI문서데이터" sheetId="16" r:id="rId3"/>
    <sheet name="AFX3-AI워크플로우" sheetId="17" r:id="rId4"/>
    <sheet name="ALX1-QA품질보증" sheetId="18" r:id="rId5"/>
    <sheet name="ALX2-제조공정문서" sheetId="19" r:id="rId6"/>
    <sheet name="ALX3-데이터기반의사결정" sheetId="20" r:id="rId7"/>
    <sheet name="ALX4-R&amp;D요구사항설계자동화" sheetId="21" r:id="rId8"/>
    <sheet name="APX1-제조 공정 AI 워크플로 MVP 구축 " sheetId="23" r:id="rId9"/>
    <sheet name="APX2- " sheetId="24" r:id="rId10"/>
    <sheet name="탬플릿-기준" sheetId="12" r:id="rId11"/>
    <sheet name="탬플릿" sheetId="3" r:id="rId12"/>
    <sheet name="탬플릿(클린)" sheetId="1" r:id="rId13"/>
    <sheet name="통합" sheetId="13" r:id="rId14"/>
    <sheet name="진단-능력단위자동설명" sheetId="14" r:id="rId15"/>
  </sheets>
  <definedNames>
    <definedName name="_xlnm._FilterDatabase" localSheetId="13" hidden="1">통합!$C$1:$L$2</definedName>
    <definedName name="능력단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17" i="24" l="1"/>
  <c r="H116" i="24"/>
  <c r="H115" i="24"/>
  <c r="D115" i="24"/>
  <c r="H114" i="24"/>
  <c r="H113" i="24"/>
  <c r="H112" i="24"/>
  <c r="E112" i="24"/>
  <c r="H110" i="24"/>
  <c r="D110" i="24"/>
  <c r="H109" i="24"/>
  <c r="H108" i="24"/>
  <c r="H106" i="24"/>
  <c r="E106" i="24"/>
  <c r="D106" i="24"/>
  <c r="H105" i="24"/>
  <c r="D105" i="24"/>
  <c r="H104" i="24"/>
  <c r="D104" i="24"/>
  <c r="H103" i="24"/>
  <c r="H102" i="24"/>
  <c r="E102" i="24"/>
  <c r="H100" i="24"/>
  <c r="H99" i="24"/>
  <c r="D99" i="24"/>
  <c r="H98" i="24"/>
  <c r="E98" i="24"/>
  <c r="H96" i="24"/>
  <c r="E96" i="24"/>
  <c r="H95" i="24"/>
  <c r="E95" i="24"/>
  <c r="D95" i="24"/>
  <c r="H94" i="24"/>
  <c r="H93" i="24"/>
  <c r="E93" i="24"/>
  <c r="H92" i="24"/>
  <c r="H90" i="24"/>
  <c r="E90" i="24"/>
  <c r="D90" i="24"/>
  <c r="H89" i="24"/>
  <c r="H88" i="24"/>
  <c r="H86" i="24"/>
  <c r="E86" i="24"/>
  <c r="H85" i="24"/>
  <c r="D85" i="24"/>
  <c r="H84" i="24"/>
  <c r="H83" i="24"/>
  <c r="H82" i="24"/>
  <c r="E82" i="24"/>
  <c r="D82" i="24"/>
  <c r="H80" i="24"/>
  <c r="D80" i="24"/>
  <c r="H79" i="24"/>
  <c r="D79" i="24"/>
  <c r="H78" i="24"/>
  <c r="H76" i="24"/>
  <c r="E76" i="24"/>
  <c r="D76" i="24"/>
  <c r="H75" i="24"/>
  <c r="H74" i="24"/>
  <c r="D74" i="24"/>
  <c r="H73" i="24"/>
  <c r="E73" i="24"/>
  <c r="H72" i="24"/>
  <c r="E72" i="24"/>
  <c r="H70" i="24"/>
  <c r="E70" i="24"/>
  <c r="D70" i="24"/>
  <c r="H69" i="24"/>
  <c r="H68" i="24"/>
  <c r="I63" i="24"/>
  <c r="C63" i="24"/>
  <c r="I62" i="24"/>
  <c r="C62" i="24"/>
  <c r="I61" i="24"/>
  <c r="C61" i="24"/>
  <c r="I60" i="24"/>
  <c r="C60" i="24"/>
  <c r="I59" i="24"/>
  <c r="C59" i="24"/>
  <c r="I58" i="24"/>
  <c r="C58" i="24"/>
  <c r="I57" i="24"/>
  <c r="C57" i="24"/>
  <c r="I56" i="24"/>
  <c r="C56" i="24"/>
  <c r="I55" i="24"/>
  <c r="C55" i="24"/>
  <c r="I54" i="24"/>
  <c r="C54" i="24"/>
  <c r="I53" i="24"/>
  <c r="C53" i="24"/>
  <c r="I52" i="24"/>
  <c r="C52" i="24"/>
  <c r="I51" i="24"/>
  <c r="C51" i="24"/>
  <c r="I50" i="24"/>
  <c r="C50" i="24"/>
  <c r="I49" i="24"/>
  <c r="C49" i="24"/>
  <c r="I48" i="24"/>
  <c r="C48" i="24"/>
  <c r="I47" i="24"/>
  <c r="C47" i="24"/>
  <c r="I46" i="24"/>
  <c r="C46" i="24"/>
  <c r="I45" i="24"/>
  <c r="C45" i="24"/>
  <c r="I44" i="24"/>
  <c r="C44" i="24"/>
  <c r="I43" i="24"/>
  <c r="C43" i="24"/>
  <c r="I42" i="24"/>
  <c r="C42" i="24"/>
  <c r="I41" i="24"/>
  <c r="C41" i="24"/>
  <c r="I40" i="24"/>
  <c r="C40" i="24"/>
  <c r="I39" i="24"/>
  <c r="C39" i="24"/>
  <c r="I38" i="24"/>
  <c r="C38" i="24"/>
  <c r="I37" i="24"/>
  <c r="C37" i="24"/>
  <c r="I36" i="24"/>
  <c r="C36" i="24"/>
  <c r="I35" i="24"/>
  <c r="C35" i="24"/>
  <c r="I34" i="24"/>
  <c r="C34" i="24"/>
  <c r="I33" i="24"/>
  <c r="C33" i="24"/>
  <c r="E115" i="24" s="1"/>
  <c r="I32" i="24"/>
  <c r="I64" i="24" s="1"/>
  <c r="E32" i="24"/>
  <c r="E68" i="24" s="1"/>
  <c r="D32" i="24"/>
  <c r="C32" i="24"/>
  <c r="E109" i="24" s="1"/>
  <c r="C10" i="24"/>
  <c r="C9" i="24"/>
  <c r="C8" i="24"/>
  <c r="C7" i="24"/>
  <c r="C6" i="24"/>
  <c r="C5" i="24"/>
  <c r="K119" i="23"/>
  <c r="H118" i="23"/>
  <c r="H117" i="23"/>
  <c r="H116" i="23"/>
  <c r="H115" i="23"/>
  <c r="H114" i="23"/>
  <c r="H112" i="23"/>
  <c r="H111" i="23"/>
  <c r="H110" i="23"/>
  <c r="H108" i="23"/>
  <c r="H107" i="23"/>
  <c r="H106" i="23"/>
  <c r="H105" i="23"/>
  <c r="H104" i="23"/>
  <c r="H102" i="23"/>
  <c r="H101" i="23"/>
  <c r="H100" i="23"/>
  <c r="H98" i="23"/>
  <c r="H97" i="23"/>
  <c r="H96" i="23"/>
  <c r="H95" i="23"/>
  <c r="H94" i="23"/>
  <c r="H92" i="23"/>
  <c r="H91" i="23"/>
  <c r="D91" i="23"/>
  <c r="H90" i="23"/>
  <c r="H88" i="23"/>
  <c r="H87" i="23"/>
  <c r="H86" i="23"/>
  <c r="H85" i="23"/>
  <c r="H84" i="23"/>
  <c r="H82" i="23"/>
  <c r="H81" i="23"/>
  <c r="H80" i="23"/>
  <c r="H78" i="23"/>
  <c r="H77" i="23"/>
  <c r="H76" i="23"/>
  <c r="H75" i="23"/>
  <c r="H74" i="23"/>
  <c r="H72" i="23"/>
  <c r="H71" i="23"/>
  <c r="H70" i="23"/>
  <c r="I65" i="23"/>
  <c r="C65" i="23"/>
  <c r="I64" i="23"/>
  <c r="C64" i="23"/>
  <c r="I63" i="23"/>
  <c r="C63" i="23"/>
  <c r="I62" i="23"/>
  <c r="C62" i="23"/>
  <c r="I61" i="23"/>
  <c r="C61" i="23"/>
  <c r="I60" i="23"/>
  <c r="C60" i="23"/>
  <c r="I59" i="23"/>
  <c r="C59" i="23"/>
  <c r="I58" i="23"/>
  <c r="C58" i="23"/>
  <c r="I57" i="23"/>
  <c r="C57" i="23"/>
  <c r="I56" i="23"/>
  <c r="C56" i="23"/>
  <c r="I55" i="23"/>
  <c r="C55" i="23"/>
  <c r="I54" i="23"/>
  <c r="C54" i="23"/>
  <c r="I53" i="23"/>
  <c r="C53" i="23"/>
  <c r="I52" i="23"/>
  <c r="C52" i="23"/>
  <c r="I51" i="23"/>
  <c r="C51" i="23"/>
  <c r="I50" i="23"/>
  <c r="C50" i="23"/>
  <c r="I49" i="23"/>
  <c r="C49" i="23"/>
  <c r="I48" i="23"/>
  <c r="C48" i="23"/>
  <c r="I47" i="23"/>
  <c r="C47" i="23"/>
  <c r="I46" i="23"/>
  <c r="C46" i="23"/>
  <c r="I45" i="23"/>
  <c r="C45" i="23"/>
  <c r="I44" i="23"/>
  <c r="C44" i="23"/>
  <c r="I43" i="23"/>
  <c r="C43" i="23"/>
  <c r="I42" i="23"/>
  <c r="C42" i="23"/>
  <c r="I41" i="23"/>
  <c r="C41" i="23"/>
  <c r="I40" i="23"/>
  <c r="C40" i="23"/>
  <c r="I39" i="23"/>
  <c r="C39" i="23"/>
  <c r="I38" i="23"/>
  <c r="C38" i="23"/>
  <c r="I37" i="23"/>
  <c r="C37" i="23"/>
  <c r="I36" i="23"/>
  <c r="C36" i="23"/>
  <c r="I35" i="23"/>
  <c r="C35" i="23"/>
  <c r="I34" i="23"/>
  <c r="E34" i="23"/>
  <c r="D34" i="23"/>
  <c r="C34" i="23"/>
  <c r="E111" i="23" s="1"/>
  <c r="C10" i="23"/>
  <c r="C9" i="23"/>
  <c r="C8" i="23"/>
  <c r="C7" i="23"/>
  <c r="C6" i="23"/>
  <c r="C5" i="23"/>
  <c r="K117" i="22"/>
  <c r="H116" i="22"/>
  <c r="H115" i="22"/>
  <c r="E115" i="22"/>
  <c r="H114" i="22"/>
  <c r="H113" i="22"/>
  <c r="E113" i="22"/>
  <c r="D113" i="22"/>
  <c r="H112" i="22"/>
  <c r="E112" i="22"/>
  <c r="H110" i="22"/>
  <c r="E110" i="22"/>
  <c r="D110" i="22"/>
  <c r="H109" i="22"/>
  <c r="H108" i="22"/>
  <c r="H106" i="22"/>
  <c r="H105" i="22"/>
  <c r="D105" i="22"/>
  <c r="H104" i="22"/>
  <c r="E104" i="22"/>
  <c r="D104" i="22"/>
  <c r="H103" i="22"/>
  <c r="D103" i="22"/>
  <c r="H102" i="22"/>
  <c r="E102" i="22"/>
  <c r="D102" i="22"/>
  <c r="H100" i="22"/>
  <c r="H99" i="22"/>
  <c r="D99" i="22"/>
  <c r="H98" i="22"/>
  <c r="H96" i="22"/>
  <c r="E96" i="22"/>
  <c r="D96" i="22"/>
  <c r="H95" i="22"/>
  <c r="E95" i="22"/>
  <c r="D95" i="22"/>
  <c r="H94" i="22"/>
  <c r="E94" i="22"/>
  <c r="D94" i="22"/>
  <c r="H93" i="22"/>
  <c r="E93" i="22"/>
  <c r="H92" i="22"/>
  <c r="H90" i="22"/>
  <c r="E90" i="22"/>
  <c r="H89" i="22"/>
  <c r="H88" i="22"/>
  <c r="E88" i="22"/>
  <c r="D88" i="22"/>
  <c r="H86" i="22"/>
  <c r="E86" i="22"/>
  <c r="H85" i="22"/>
  <c r="E85" i="22"/>
  <c r="D85" i="22"/>
  <c r="H84" i="22"/>
  <c r="H83" i="22"/>
  <c r="H82" i="22"/>
  <c r="H80" i="22"/>
  <c r="D80" i="22"/>
  <c r="H79" i="22"/>
  <c r="E79" i="22"/>
  <c r="D79" i="22"/>
  <c r="H78" i="22"/>
  <c r="D78" i="22"/>
  <c r="H76" i="22"/>
  <c r="E76" i="22"/>
  <c r="D76" i="22"/>
  <c r="H75" i="22"/>
  <c r="H74" i="22"/>
  <c r="D74" i="22"/>
  <c r="H73" i="22"/>
  <c r="H72" i="22"/>
  <c r="E72" i="22"/>
  <c r="D72" i="22"/>
  <c r="H70" i="22"/>
  <c r="E70" i="22"/>
  <c r="D70" i="22"/>
  <c r="H69" i="22"/>
  <c r="E69" i="22"/>
  <c r="D69" i="22"/>
  <c r="H68" i="22"/>
  <c r="E68" i="22"/>
  <c r="I63" i="22"/>
  <c r="C63" i="22"/>
  <c r="I62" i="22"/>
  <c r="C62" i="22"/>
  <c r="I61" i="22"/>
  <c r="C61" i="22"/>
  <c r="I60" i="22"/>
  <c r="C60" i="22"/>
  <c r="I59" i="22"/>
  <c r="C59" i="22"/>
  <c r="I58" i="22"/>
  <c r="C58" i="22"/>
  <c r="I57" i="22"/>
  <c r="C57" i="22"/>
  <c r="I56" i="22"/>
  <c r="C56" i="22"/>
  <c r="I55" i="22"/>
  <c r="C55" i="22"/>
  <c r="I54" i="22"/>
  <c r="C54" i="22"/>
  <c r="I53" i="22"/>
  <c r="C53" i="22"/>
  <c r="I52" i="22"/>
  <c r="C52" i="22"/>
  <c r="I51" i="22"/>
  <c r="C51" i="22"/>
  <c r="I50" i="22"/>
  <c r="C50" i="22"/>
  <c r="I49" i="22"/>
  <c r="C49" i="22"/>
  <c r="I48" i="22"/>
  <c r="C48" i="22"/>
  <c r="I47" i="22"/>
  <c r="C47" i="22"/>
  <c r="I46" i="22"/>
  <c r="C46" i="22"/>
  <c r="I45" i="22"/>
  <c r="C45" i="22"/>
  <c r="I44" i="22"/>
  <c r="C44" i="22"/>
  <c r="I43" i="22"/>
  <c r="C43" i="22"/>
  <c r="I42" i="22"/>
  <c r="C42" i="22"/>
  <c r="I41" i="22"/>
  <c r="C41" i="22"/>
  <c r="I40" i="22"/>
  <c r="C40" i="22"/>
  <c r="I39" i="22"/>
  <c r="C39" i="22"/>
  <c r="I38" i="22"/>
  <c r="C38" i="22"/>
  <c r="I37" i="22"/>
  <c r="C37" i="22"/>
  <c r="I36" i="22"/>
  <c r="C36" i="22"/>
  <c r="I35" i="22"/>
  <c r="C35" i="22"/>
  <c r="I34" i="22"/>
  <c r="C34" i="22"/>
  <c r="I33" i="22"/>
  <c r="C33" i="22"/>
  <c r="D115" i="22" s="1"/>
  <c r="I32" i="22"/>
  <c r="I64" i="22" s="1"/>
  <c r="E32" i="22"/>
  <c r="D32" i="22"/>
  <c r="C32" i="22"/>
  <c r="E109" i="22" s="1"/>
  <c r="C10" i="22"/>
  <c r="C9" i="22"/>
  <c r="C8" i="22"/>
  <c r="C7" i="22"/>
  <c r="C6" i="22"/>
  <c r="C5" i="22"/>
  <c r="K119" i="21"/>
  <c r="H118" i="21"/>
  <c r="H117" i="21"/>
  <c r="H116" i="21"/>
  <c r="H115" i="21"/>
  <c r="H114" i="21"/>
  <c r="H112" i="21"/>
  <c r="H111" i="21"/>
  <c r="H110" i="21"/>
  <c r="H108" i="21"/>
  <c r="H107" i="21"/>
  <c r="H106" i="21"/>
  <c r="H105" i="21"/>
  <c r="H104" i="21"/>
  <c r="H102" i="21"/>
  <c r="H101" i="21"/>
  <c r="H100" i="21"/>
  <c r="H98" i="21"/>
  <c r="H97" i="21"/>
  <c r="H96" i="21"/>
  <c r="H95" i="21"/>
  <c r="H94" i="21"/>
  <c r="H92" i="21"/>
  <c r="H91" i="21"/>
  <c r="H90" i="21"/>
  <c r="H88" i="21"/>
  <c r="H87" i="21"/>
  <c r="H86" i="21"/>
  <c r="H85" i="21"/>
  <c r="H84" i="21"/>
  <c r="H82" i="21"/>
  <c r="H81" i="21"/>
  <c r="H80" i="21"/>
  <c r="H78" i="21"/>
  <c r="H77" i="21"/>
  <c r="H76" i="21"/>
  <c r="H75" i="21"/>
  <c r="H74" i="21"/>
  <c r="H72" i="21"/>
  <c r="H71" i="21"/>
  <c r="H70" i="21"/>
  <c r="I65" i="21"/>
  <c r="C65" i="21"/>
  <c r="I64" i="21"/>
  <c r="C64" i="21"/>
  <c r="I63" i="21"/>
  <c r="C63" i="21"/>
  <c r="I62" i="21"/>
  <c r="C62" i="21"/>
  <c r="I61" i="21"/>
  <c r="C61" i="21"/>
  <c r="I60" i="21"/>
  <c r="C60" i="21"/>
  <c r="I59" i="21"/>
  <c r="C59" i="21"/>
  <c r="I58" i="21"/>
  <c r="C58" i="21"/>
  <c r="I57" i="21"/>
  <c r="C57" i="21"/>
  <c r="I56" i="21"/>
  <c r="C56" i="21"/>
  <c r="I55" i="21"/>
  <c r="C55" i="21"/>
  <c r="I54" i="21"/>
  <c r="C54" i="21"/>
  <c r="I53" i="21"/>
  <c r="C53" i="21"/>
  <c r="I52" i="21"/>
  <c r="C52" i="21"/>
  <c r="I51" i="21"/>
  <c r="C51" i="21"/>
  <c r="I50" i="21"/>
  <c r="C50" i="21"/>
  <c r="I49" i="21"/>
  <c r="C49" i="21"/>
  <c r="I48" i="21"/>
  <c r="C48" i="21"/>
  <c r="I47" i="21"/>
  <c r="C47" i="21"/>
  <c r="I46" i="21"/>
  <c r="C46" i="21"/>
  <c r="I45" i="21"/>
  <c r="C45" i="21"/>
  <c r="I44" i="21"/>
  <c r="C44" i="21"/>
  <c r="I43" i="21"/>
  <c r="C43" i="21"/>
  <c r="I42" i="21"/>
  <c r="C42" i="21"/>
  <c r="I41" i="21"/>
  <c r="C41" i="21"/>
  <c r="I40" i="21"/>
  <c r="C40" i="21"/>
  <c r="I39" i="21"/>
  <c r="C39" i="21"/>
  <c r="I38" i="21"/>
  <c r="C38" i="21"/>
  <c r="I37" i="21"/>
  <c r="C37" i="21"/>
  <c r="I36" i="21"/>
  <c r="C36" i="21"/>
  <c r="I35" i="21"/>
  <c r="C35" i="21"/>
  <c r="E117" i="21" s="1"/>
  <c r="I34" i="21"/>
  <c r="E34" i="21"/>
  <c r="D34" i="21"/>
  <c r="C34" i="21"/>
  <c r="C10" i="21"/>
  <c r="C9" i="21"/>
  <c r="C8" i="21"/>
  <c r="C7" i="21"/>
  <c r="C6" i="21"/>
  <c r="C5" i="21"/>
  <c r="K119" i="20"/>
  <c r="H118" i="20"/>
  <c r="H117" i="20"/>
  <c r="H116" i="20"/>
  <c r="H115" i="20"/>
  <c r="H114" i="20"/>
  <c r="H112" i="20"/>
  <c r="H111" i="20"/>
  <c r="H110" i="20"/>
  <c r="H108" i="20"/>
  <c r="H107" i="20"/>
  <c r="H106" i="20"/>
  <c r="H105" i="20"/>
  <c r="H104" i="20"/>
  <c r="H102" i="20"/>
  <c r="H101" i="20"/>
  <c r="H100" i="20"/>
  <c r="H98" i="20"/>
  <c r="H97" i="20"/>
  <c r="H96" i="20"/>
  <c r="H95" i="20"/>
  <c r="H94" i="20"/>
  <c r="H92" i="20"/>
  <c r="H91" i="20"/>
  <c r="H90" i="20"/>
  <c r="H88" i="20"/>
  <c r="H87" i="20"/>
  <c r="H86" i="20"/>
  <c r="H85" i="20"/>
  <c r="H84" i="20"/>
  <c r="H82" i="20"/>
  <c r="H81" i="20"/>
  <c r="H80" i="20"/>
  <c r="H78" i="20"/>
  <c r="H77" i="20"/>
  <c r="H76" i="20"/>
  <c r="D76" i="20"/>
  <c r="H75" i="20"/>
  <c r="H74" i="20"/>
  <c r="H72" i="20"/>
  <c r="H71" i="20"/>
  <c r="H70" i="20"/>
  <c r="I65" i="20"/>
  <c r="C65" i="20"/>
  <c r="I64" i="20"/>
  <c r="C64" i="20"/>
  <c r="I63" i="20"/>
  <c r="C63" i="20"/>
  <c r="I62" i="20"/>
  <c r="C62" i="20"/>
  <c r="I61" i="20"/>
  <c r="C61" i="20"/>
  <c r="I60" i="20"/>
  <c r="C60" i="20"/>
  <c r="I59" i="20"/>
  <c r="C59" i="20"/>
  <c r="I58" i="20"/>
  <c r="C58" i="20"/>
  <c r="I57" i="20"/>
  <c r="C57" i="20"/>
  <c r="I56" i="20"/>
  <c r="C56" i="20"/>
  <c r="I55" i="20"/>
  <c r="C55" i="20"/>
  <c r="I54" i="20"/>
  <c r="C54" i="20"/>
  <c r="I53" i="20"/>
  <c r="C53" i="20"/>
  <c r="I52" i="20"/>
  <c r="C52" i="20"/>
  <c r="I51" i="20"/>
  <c r="C51" i="20"/>
  <c r="I50" i="20"/>
  <c r="C50" i="20"/>
  <c r="I49" i="20"/>
  <c r="C49" i="20"/>
  <c r="I48" i="20"/>
  <c r="C48" i="20"/>
  <c r="I47" i="20"/>
  <c r="C47" i="20"/>
  <c r="I46" i="20"/>
  <c r="C46" i="20"/>
  <c r="I45" i="20"/>
  <c r="C45" i="20"/>
  <c r="I44" i="20"/>
  <c r="C44" i="20"/>
  <c r="I43" i="20"/>
  <c r="C43" i="20"/>
  <c r="I42" i="20"/>
  <c r="C42" i="20"/>
  <c r="I41" i="20"/>
  <c r="C41" i="20"/>
  <c r="I40" i="20"/>
  <c r="C40" i="20"/>
  <c r="I39" i="20"/>
  <c r="C39" i="20"/>
  <c r="I38" i="20"/>
  <c r="C38" i="20"/>
  <c r="I37" i="20"/>
  <c r="C37" i="20"/>
  <c r="I36" i="20"/>
  <c r="C36" i="20"/>
  <c r="I35" i="20"/>
  <c r="C35" i="20"/>
  <c r="E117" i="20" s="1"/>
  <c r="I34" i="20"/>
  <c r="E34" i="20"/>
  <c r="D34" i="20"/>
  <c r="C34" i="20"/>
  <c r="C10" i="20"/>
  <c r="C9" i="20"/>
  <c r="C8" i="20"/>
  <c r="C7" i="20"/>
  <c r="C6" i="20"/>
  <c r="C5" i="20"/>
  <c r="K119" i="19"/>
  <c r="H118" i="19"/>
  <c r="H117" i="19"/>
  <c r="H116" i="19"/>
  <c r="H115" i="19"/>
  <c r="H114" i="19"/>
  <c r="H112" i="19"/>
  <c r="H111" i="19"/>
  <c r="H110" i="19"/>
  <c r="H108" i="19"/>
  <c r="E108" i="19"/>
  <c r="H107" i="19"/>
  <c r="H106" i="19"/>
  <c r="H105" i="19"/>
  <c r="H104" i="19"/>
  <c r="H102" i="19"/>
  <c r="H101" i="19"/>
  <c r="H100" i="19"/>
  <c r="E100" i="19"/>
  <c r="H98" i="19"/>
  <c r="H97" i="19"/>
  <c r="H96" i="19"/>
  <c r="H95" i="19"/>
  <c r="H94" i="19"/>
  <c r="H92" i="19"/>
  <c r="D92" i="19"/>
  <c r="H91" i="19"/>
  <c r="H90" i="19"/>
  <c r="H88" i="19"/>
  <c r="H87" i="19"/>
  <c r="H86" i="19"/>
  <c r="H85" i="19"/>
  <c r="H84" i="19"/>
  <c r="E84" i="19"/>
  <c r="H82" i="19"/>
  <c r="H81" i="19"/>
  <c r="H80" i="19"/>
  <c r="H78" i="19"/>
  <c r="H77" i="19"/>
  <c r="H76" i="19"/>
  <c r="H75" i="19"/>
  <c r="H74" i="19"/>
  <c r="H72" i="19"/>
  <c r="H71" i="19"/>
  <c r="H70" i="19"/>
  <c r="I65" i="19"/>
  <c r="C65" i="19"/>
  <c r="I64" i="19"/>
  <c r="C64" i="19"/>
  <c r="I63" i="19"/>
  <c r="C63" i="19"/>
  <c r="I62" i="19"/>
  <c r="C62" i="19"/>
  <c r="I61" i="19"/>
  <c r="C61" i="19"/>
  <c r="I60" i="19"/>
  <c r="C60" i="19"/>
  <c r="I59" i="19"/>
  <c r="C59" i="19"/>
  <c r="I58" i="19"/>
  <c r="C58" i="19"/>
  <c r="I57" i="19"/>
  <c r="C57" i="19"/>
  <c r="I56" i="19"/>
  <c r="C56" i="19"/>
  <c r="I55" i="19"/>
  <c r="C55" i="19"/>
  <c r="I54" i="19"/>
  <c r="C54" i="19"/>
  <c r="I53" i="19"/>
  <c r="C53" i="19"/>
  <c r="I52" i="19"/>
  <c r="C52" i="19"/>
  <c r="I51" i="19"/>
  <c r="C51" i="19"/>
  <c r="I50" i="19"/>
  <c r="C50" i="19"/>
  <c r="I49" i="19"/>
  <c r="C49" i="19"/>
  <c r="I48" i="19"/>
  <c r="C48" i="19"/>
  <c r="I47" i="19"/>
  <c r="C47" i="19"/>
  <c r="I46" i="19"/>
  <c r="C46" i="19"/>
  <c r="I45" i="19"/>
  <c r="C45" i="19"/>
  <c r="I44" i="19"/>
  <c r="C44" i="19"/>
  <c r="I43" i="19"/>
  <c r="C43" i="19"/>
  <c r="I42" i="19"/>
  <c r="C42" i="19"/>
  <c r="I41" i="19"/>
  <c r="C41" i="19"/>
  <c r="I40" i="19"/>
  <c r="C40" i="19"/>
  <c r="I39" i="19"/>
  <c r="C39" i="19"/>
  <c r="I38" i="19"/>
  <c r="C38" i="19"/>
  <c r="I37" i="19"/>
  <c r="C37" i="19"/>
  <c r="I36" i="19"/>
  <c r="C36" i="19"/>
  <c r="I35" i="19"/>
  <c r="C35" i="19"/>
  <c r="I34" i="19"/>
  <c r="E34" i="19"/>
  <c r="D34" i="19"/>
  <c r="C34" i="19"/>
  <c r="E116" i="19" s="1"/>
  <c r="C10" i="19"/>
  <c r="C9" i="19"/>
  <c r="C8" i="19"/>
  <c r="C7" i="19"/>
  <c r="C6" i="19"/>
  <c r="C5" i="19"/>
  <c r="K119" i="18"/>
  <c r="H118" i="18"/>
  <c r="H117" i="18"/>
  <c r="H116" i="18"/>
  <c r="H115" i="18"/>
  <c r="H114" i="18"/>
  <c r="H112" i="18"/>
  <c r="H111" i="18"/>
  <c r="H110" i="18"/>
  <c r="H108" i="18"/>
  <c r="H107" i="18"/>
  <c r="H106" i="18"/>
  <c r="H105" i="18"/>
  <c r="H104" i="18"/>
  <c r="H102" i="18"/>
  <c r="H101" i="18"/>
  <c r="H100" i="18"/>
  <c r="H98" i="18"/>
  <c r="H97" i="18"/>
  <c r="H96" i="18"/>
  <c r="H95" i="18"/>
  <c r="H94" i="18"/>
  <c r="H92" i="18"/>
  <c r="H91" i="18"/>
  <c r="H90" i="18"/>
  <c r="H88" i="18"/>
  <c r="H87" i="18"/>
  <c r="H86" i="18"/>
  <c r="H85" i="18"/>
  <c r="H84" i="18"/>
  <c r="H82" i="18"/>
  <c r="H81" i="18"/>
  <c r="H80" i="18"/>
  <c r="H78" i="18"/>
  <c r="H77" i="18"/>
  <c r="H76" i="18"/>
  <c r="H75" i="18"/>
  <c r="H74" i="18"/>
  <c r="H72" i="18"/>
  <c r="H71" i="18"/>
  <c r="H70" i="18"/>
  <c r="I65" i="18"/>
  <c r="C65" i="18"/>
  <c r="I64" i="18"/>
  <c r="C64" i="18"/>
  <c r="I63" i="18"/>
  <c r="C63" i="18"/>
  <c r="I62" i="18"/>
  <c r="C62" i="18"/>
  <c r="I61" i="18"/>
  <c r="C61" i="18"/>
  <c r="I60" i="18"/>
  <c r="C60" i="18"/>
  <c r="I59" i="18"/>
  <c r="C59" i="18"/>
  <c r="I58" i="18"/>
  <c r="C58" i="18"/>
  <c r="I57" i="18"/>
  <c r="C57" i="18"/>
  <c r="I56" i="18"/>
  <c r="C56" i="18"/>
  <c r="I55" i="18"/>
  <c r="C55" i="18"/>
  <c r="I54" i="18"/>
  <c r="C54" i="18"/>
  <c r="I53" i="18"/>
  <c r="C53" i="18"/>
  <c r="I52" i="18"/>
  <c r="C52" i="18"/>
  <c r="I51" i="18"/>
  <c r="C51" i="18"/>
  <c r="I50" i="18"/>
  <c r="C50" i="18"/>
  <c r="I49" i="18"/>
  <c r="C49" i="18"/>
  <c r="I48" i="18"/>
  <c r="C48" i="18"/>
  <c r="I47" i="18"/>
  <c r="C47" i="18"/>
  <c r="I46" i="18"/>
  <c r="C46" i="18"/>
  <c r="I45" i="18"/>
  <c r="C45" i="18"/>
  <c r="I44" i="18"/>
  <c r="C44" i="18"/>
  <c r="I43" i="18"/>
  <c r="C43" i="18"/>
  <c r="I42" i="18"/>
  <c r="C42" i="18"/>
  <c r="I41" i="18"/>
  <c r="C41" i="18"/>
  <c r="I40" i="18"/>
  <c r="C40" i="18"/>
  <c r="I39" i="18"/>
  <c r="C39" i="18"/>
  <c r="I38" i="18"/>
  <c r="C38" i="18"/>
  <c r="I37" i="18"/>
  <c r="C37" i="18"/>
  <c r="I36" i="18"/>
  <c r="C36" i="18"/>
  <c r="I35" i="18"/>
  <c r="C35" i="18"/>
  <c r="I34" i="18"/>
  <c r="E34" i="18"/>
  <c r="D34" i="18"/>
  <c r="C34" i="18"/>
  <c r="D111" i="18" s="1"/>
  <c r="C10" i="18"/>
  <c r="C9" i="18"/>
  <c r="C8" i="18"/>
  <c r="C7" i="18"/>
  <c r="C6" i="18"/>
  <c r="C5" i="18"/>
  <c r="K119" i="17"/>
  <c r="H118" i="17"/>
  <c r="H117" i="17"/>
  <c r="H116" i="17"/>
  <c r="H115" i="17"/>
  <c r="H114" i="17"/>
  <c r="H112" i="17"/>
  <c r="H111" i="17"/>
  <c r="H110" i="17"/>
  <c r="H108" i="17"/>
  <c r="H107" i="17"/>
  <c r="H106" i="17"/>
  <c r="H105" i="17"/>
  <c r="H104" i="17"/>
  <c r="H102" i="17"/>
  <c r="H101" i="17"/>
  <c r="H100" i="17"/>
  <c r="H98" i="17"/>
  <c r="H97" i="17"/>
  <c r="H96" i="17"/>
  <c r="H95" i="17"/>
  <c r="H94" i="17"/>
  <c r="H92" i="17"/>
  <c r="H91" i="17"/>
  <c r="H90" i="17"/>
  <c r="H88" i="17"/>
  <c r="H87" i="17"/>
  <c r="H86" i="17"/>
  <c r="H85" i="17"/>
  <c r="H84" i="17"/>
  <c r="H82" i="17"/>
  <c r="H81" i="17"/>
  <c r="H80" i="17"/>
  <c r="H78" i="17"/>
  <c r="H77" i="17"/>
  <c r="H76" i="17"/>
  <c r="H75" i="17"/>
  <c r="H74" i="17"/>
  <c r="H72" i="17"/>
  <c r="H71" i="17"/>
  <c r="H70" i="17"/>
  <c r="I65" i="17"/>
  <c r="C65" i="17"/>
  <c r="I64" i="17"/>
  <c r="C64" i="17"/>
  <c r="I63" i="17"/>
  <c r="C63" i="17"/>
  <c r="I62" i="17"/>
  <c r="C62" i="17"/>
  <c r="I61" i="17"/>
  <c r="C61" i="17"/>
  <c r="I60" i="17"/>
  <c r="C60" i="17"/>
  <c r="I59" i="17"/>
  <c r="C59" i="17"/>
  <c r="I58" i="17"/>
  <c r="C58" i="17"/>
  <c r="I57" i="17"/>
  <c r="C57" i="17"/>
  <c r="I56" i="17"/>
  <c r="C56" i="17"/>
  <c r="I55" i="17"/>
  <c r="C55" i="17"/>
  <c r="I54" i="17"/>
  <c r="C54" i="17"/>
  <c r="I53" i="17"/>
  <c r="C53" i="17"/>
  <c r="I52" i="17"/>
  <c r="C52" i="17"/>
  <c r="I51" i="17"/>
  <c r="C51" i="17"/>
  <c r="I50" i="17"/>
  <c r="C50" i="17"/>
  <c r="I49" i="17"/>
  <c r="C49" i="17"/>
  <c r="I48" i="17"/>
  <c r="C48" i="17"/>
  <c r="I47" i="17"/>
  <c r="C47" i="17"/>
  <c r="I46" i="17"/>
  <c r="C46" i="17"/>
  <c r="I45" i="17"/>
  <c r="C45" i="17"/>
  <c r="I44" i="17"/>
  <c r="C44" i="17"/>
  <c r="I43" i="17"/>
  <c r="C43" i="17"/>
  <c r="I42" i="17"/>
  <c r="C42" i="17"/>
  <c r="I41" i="17"/>
  <c r="C41" i="17"/>
  <c r="I40" i="17"/>
  <c r="C40" i="17"/>
  <c r="I39" i="17"/>
  <c r="C39" i="17"/>
  <c r="I38" i="17"/>
  <c r="C38" i="17"/>
  <c r="I37" i="17"/>
  <c r="C37" i="17"/>
  <c r="I36" i="17"/>
  <c r="C36" i="17"/>
  <c r="I35" i="17"/>
  <c r="C35" i="17"/>
  <c r="I34" i="17"/>
  <c r="E34" i="17"/>
  <c r="D34" i="17"/>
  <c r="C34" i="17"/>
  <c r="C10" i="17"/>
  <c r="C9" i="17"/>
  <c r="C8" i="17"/>
  <c r="C7" i="17"/>
  <c r="C6" i="17"/>
  <c r="C5" i="17"/>
  <c r="K119" i="16"/>
  <c r="H118" i="16"/>
  <c r="H117" i="16"/>
  <c r="H116" i="16"/>
  <c r="H115" i="16"/>
  <c r="H114" i="16"/>
  <c r="H112" i="16"/>
  <c r="H111" i="16"/>
  <c r="H110" i="16"/>
  <c r="H108" i="16"/>
  <c r="H107" i="16"/>
  <c r="H106" i="16"/>
  <c r="H105" i="16"/>
  <c r="H104" i="16"/>
  <c r="H102" i="16"/>
  <c r="H101" i="16"/>
  <c r="H100" i="16"/>
  <c r="H98" i="16"/>
  <c r="H97" i="16"/>
  <c r="H96" i="16"/>
  <c r="H95" i="16"/>
  <c r="H94" i="16"/>
  <c r="H92" i="16"/>
  <c r="H91" i="16"/>
  <c r="H90" i="16"/>
  <c r="H88" i="16"/>
  <c r="H87" i="16"/>
  <c r="H86" i="16"/>
  <c r="H85" i="16"/>
  <c r="H84" i="16"/>
  <c r="H82" i="16"/>
  <c r="H81" i="16"/>
  <c r="H80" i="16"/>
  <c r="H78" i="16"/>
  <c r="H77" i="16"/>
  <c r="H76" i="16"/>
  <c r="H75" i="16"/>
  <c r="H74" i="16"/>
  <c r="H72" i="16"/>
  <c r="H71" i="16"/>
  <c r="H70" i="16"/>
  <c r="I65" i="16"/>
  <c r="C65" i="16"/>
  <c r="I64" i="16"/>
  <c r="C64" i="16"/>
  <c r="I63" i="16"/>
  <c r="C63" i="16"/>
  <c r="I62" i="16"/>
  <c r="C62" i="16"/>
  <c r="I61" i="16"/>
  <c r="C61" i="16"/>
  <c r="I60" i="16"/>
  <c r="C60" i="16"/>
  <c r="I59" i="16"/>
  <c r="C59" i="16"/>
  <c r="I58" i="16"/>
  <c r="C58" i="16"/>
  <c r="I57" i="16"/>
  <c r="C57" i="16"/>
  <c r="I56" i="16"/>
  <c r="C56" i="16"/>
  <c r="I55" i="16"/>
  <c r="C55" i="16"/>
  <c r="I54" i="16"/>
  <c r="C54" i="16"/>
  <c r="I53" i="16"/>
  <c r="C53" i="16"/>
  <c r="I52" i="16"/>
  <c r="C52" i="16"/>
  <c r="I51" i="16"/>
  <c r="C51" i="16"/>
  <c r="I50" i="16"/>
  <c r="C50" i="16"/>
  <c r="I49" i="16"/>
  <c r="C49" i="16"/>
  <c r="I48" i="16"/>
  <c r="C48" i="16"/>
  <c r="I47" i="16"/>
  <c r="C47" i="16"/>
  <c r="I46" i="16"/>
  <c r="C46" i="16"/>
  <c r="I45" i="16"/>
  <c r="C45" i="16"/>
  <c r="I44" i="16"/>
  <c r="C44" i="16"/>
  <c r="I43" i="16"/>
  <c r="C43" i="16"/>
  <c r="I42" i="16"/>
  <c r="C42" i="16"/>
  <c r="I41" i="16"/>
  <c r="C41" i="16"/>
  <c r="I40" i="16"/>
  <c r="C40" i="16"/>
  <c r="I39" i="16"/>
  <c r="C39" i="16"/>
  <c r="I38" i="16"/>
  <c r="C38" i="16"/>
  <c r="I37" i="16"/>
  <c r="C37" i="16"/>
  <c r="I36" i="16"/>
  <c r="C36" i="16"/>
  <c r="I35" i="16"/>
  <c r="C35" i="16"/>
  <c r="I34" i="16"/>
  <c r="E34" i="16"/>
  <c r="D34" i="16"/>
  <c r="C34" i="16"/>
  <c r="C10" i="16"/>
  <c r="C9" i="16"/>
  <c r="C8" i="16"/>
  <c r="C7" i="16"/>
  <c r="C6" i="16"/>
  <c r="C5" i="16"/>
  <c r="K119" i="15"/>
  <c r="H118" i="15"/>
  <c r="H117" i="15"/>
  <c r="H116" i="15"/>
  <c r="H115" i="15"/>
  <c r="H114" i="15"/>
  <c r="H112" i="15"/>
  <c r="H111" i="15"/>
  <c r="H110" i="15"/>
  <c r="H108" i="15"/>
  <c r="H107" i="15"/>
  <c r="H106" i="15"/>
  <c r="H105" i="15"/>
  <c r="H104" i="15"/>
  <c r="H102" i="15"/>
  <c r="H101" i="15"/>
  <c r="H100" i="15"/>
  <c r="H98" i="15"/>
  <c r="H97" i="15"/>
  <c r="H96" i="15"/>
  <c r="H95" i="15"/>
  <c r="H94" i="15"/>
  <c r="H92" i="15"/>
  <c r="H91" i="15"/>
  <c r="H90" i="15"/>
  <c r="H88" i="15"/>
  <c r="H87" i="15"/>
  <c r="H86" i="15"/>
  <c r="H85" i="15"/>
  <c r="H84" i="15"/>
  <c r="H82" i="15"/>
  <c r="H81" i="15"/>
  <c r="H80" i="15"/>
  <c r="H78" i="15"/>
  <c r="H77" i="15"/>
  <c r="H76" i="15"/>
  <c r="H75" i="15"/>
  <c r="H74" i="15"/>
  <c r="H72" i="15"/>
  <c r="H71" i="15"/>
  <c r="H70" i="15"/>
  <c r="I65" i="15"/>
  <c r="C65" i="15"/>
  <c r="I64" i="15"/>
  <c r="C64" i="15"/>
  <c r="I63" i="15"/>
  <c r="C63" i="15"/>
  <c r="I62" i="15"/>
  <c r="C62" i="15"/>
  <c r="I61" i="15"/>
  <c r="C61" i="15"/>
  <c r="I60" i="15"/>
  <c r="C60" i="15"/>
  <c r="I59" i="15"/>
  <c r="C59" i="15"/>
  <c r="I58" i="15"/>
  <c r="C58" i="15"/>
  <c r="I57" i="15"/>
  <c r="C57" i="15"/>
  <c r="I56" i="15"/>
  <c r="C56" i="15"/>
  <c r="I55" i="15"/>
  <c r="C55" i="15"/>
  <c r="I54" i="15"/>
  <c r="C54" i="15"/>
  <c r="I53" i="15"/>
  <c r="C53" i="15"/>
  <c r="I52" i="15"/>
  <c r="C52" i="15"/>
  <c r="I51" i="15"/>
  <c r="C51" i="15"/>
  <c r="I50" i="15"/>
  <c r="C50" i="15"/>
  <c r="I49" i="15"/>
  <c r="C49" i="15"/>
  <c r="I48" i="15"/>
  <c r="C48" i="15"/>
  <c r="I47" i="15"/>
  <c r="C47" i="15"/>
  <c r="I46" i="15"/>
  <c r="C46" i="15"/>
  <c r="I45" i="15"/>
  <c r="C45" i="15"/>
  <c r="I44" i="15"/>
  <c r="C44" i="15"/>
  <c r="I43" i="15"/>
  <c r="C43" i="15"/>
  <c r="I42" i="15"/>
  <c r="C42" i="15"/>
  <c r="I41" i="15"/>
  <c r="C41" i="15"/>
  <c r="I40" i="15"/>
  <c r="C40" i="15"/>
  <c r="I39" i="15"/>
  <c r="C39" i="15"/>
  <c r="I38" i="15"/>
  <c r="C38" i="15"/>
  <c r="I37" i="15"/>
  <c r="C37" i="15"/>
  <c r="I36" i="15"/>
  <c r="C36" i="15"/>
  <c r="I35" i="15"/>
  <c r="C35" i="15"/>
  <c r="D102" i="15" s="1"/>
  <c r="I34" i="15"/>
  <c r="E34" i="15"/>
  <c r="E70" i="15" s="1"/>
  <c r="D34" i="15"/>
  <c r="C34" i="15"/>
  <c r="C10" i="15"/>
  <c r="C9" i="15"/>
  <c r="C8" i="15"/>
  <c r="C7" i="15"/>
  <c r="C6" i="15"/>
  <c r="C5" i="15"/>
  <c r="E32" i="12"/>
  <c r="D32" i="12"/>
  <c r="C32" i="12"/>
  <c r="C9" i="12"/>
  <c r="C10" i="12"/>
  <c r="C8" i="12"/>
  <c r="C7" i="12"/>
  <c r="C6" i="12"/>
  <c r="C5" i="12"/>
  <c r="K117" i="12"/>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3" i="13"/>
  <c r="C2" i="14"/>
  <c r="C3" i="14"/>
  <c r="C4" i="14"/>
  <c r="C5" i="14"/>
  <c r="C6" i="14"/>
  <c r="C7" i="14"/>
  <c r="C8" i="14"/>
  <c r="C9" i="14"/>
  <c r="C10" i="14"/>
  <c r="C11" i="14"/>
  <c r="H116" i="12"/>
  <c r="H115" i="12"/>
  <c r="H114" i="12"/>
  <c r="H113" i="12"/>
  <c r="H112" i="12"/>
  <c r="H110" i="12"/>
  <c r="H109" i="12"/>
  <c r="H108" i="12"/>
  <c r="H106" i="12"/>
  <c r="H105" i="12"/>
  <c r="H104" i="12"/>
  <c r="H103" i="12"/>
  <c r="H102" i="12"/>
  <c r="H100" i="12"/>
  <c r="H99" i="12"/>
  <c r="H98" i="12"/>
  <c r="H96" i="12"/>
  <c r="H95" i="12"/>
  <c r="H94" i="12"/>
  <c r="H93" i="12"/>
  <c r="H92" i="12"/>
  <c r="H90" i="12"/>
  <c r="H89" i="12"/>
  <c r="H88" i="12"/>
  <c r="H86" i="12"/>
  <c r="H85" i="12"/>
  <c r="H84" i="12"/>
  <c r="H83" i="12"/>
  <c r="H82" i="12"/>
  <c r="H80" i="12"/>
  <c r="H79" i="12"/>
  <c r="H78" i="12"/>
  <c r="H76" i="12"/>
  <c r="H75" i="12"/>
  <c r="H74" i="12"/>
  <c r="H73" i="12"/>
  <c r="H72" i="12"/>
  <c r="H70" i="12"/>
  <c r="H69" i="12"/>
  <c r="H68"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C44" i="12"/>
  <c r="I43" i="12"/>
  <c r="C43" i="12"/>
  <c r="I42" i="12"/>
  <c r="C42" i="12"/>
  <c r="I41" i="12"/>
  <c r="C41" i="12"/>
  <c r="I40" i="12"/>
  <c r="C40" i="12"/>
  <c r="I39" i="12"/>
  <c r="C39" i="12"/>
  <c r="I38" i="12"/>
  <c r="C38" i="12"/>
  <c r="I37" i="12"/>
  <c r="C37" i="12"/>
  <c r="I36" i="12"/>
  <c r="C36" i="12"/>
  <c r="I35" i="12"/>
  <c r="C35" i="12"/>
  <c r="I34" i="12"/>
  <c r="C34" i="12"/>
  <c r="I33" i="12"/>
  <c r="C33" i="12"/>
  <c r="I32"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D92" i="18" l="1"/>
  <c r="E111" i="16"/>
  <c r="I66" i="21"/>
  <c r="E84" i="18"/>
  <c r="E75" i="19"/>
  <c r="E98" i="23"/>
  <c r="D85" i="19"/>
  <c r="D71" i="20"/>
  <c r="D72" i="15"/>
  <c r="I66" i="18"/>
  <c r="E74" i="20"/>
  <c r="E98" i="20"/>
  <c r="E71" i="23"/>
  <c r="E88" i="15"/>
  <c r="E96" i="15"/>
  <c r="D104" i="15"/>
  <c r="E112" i="15"/>
  <c r="E90" i="19"/>
  <c r="D116" i="19"/>
  <c r="E111" i="15"/>
  <c r="E72" i="15"/>
  <c r="D80" i="15"/>
  <c r="E104" i="15"/>
  <c r="D74" i="19"/>
  <c r="D82" i="19"/>
  <c r="D98" i="19"/>
  <c r="D107" i="19"/>
  <c r="E86" i="20"/>
  <c r="D82" i="20"/>
  <c r="D91" i="20"/>
  <c r="D107" i="20"/>
  <c r="D116" i="20"/>
  <c r="E96" i="23"/>
  <c r="D111" i="17"/>
  <c r="E111" i="19"/>
  <c r="E74" i="19"/>
  <c r="E82" i="19"/>
  <c r="D91" i="19"/>
  <c r="E98" i="19"/>
  <c r="E107" i="19"/>
  <c r="D75" i="20"/>
  <c r="E82" i="20"/>
  <c r="E91" i="20"/>
  <c r="D100" i="20"/>
  <c r="E107" i="20"/>
  <c r="E116" i="20"/>
  <c r="D80" i="23"/>
  <c r="D75" i="15"/>
  <c r="D104" i="16"/>
  <c r="E92" i="20"/>
  <c r="E90" i="15"/>
  <c r="D97" i="15"/>
  <c r="E114" i="15"/>
  <c r="D74" i="15"/>
  <c r="D81" i="15"/>
  <c r="E97" i="15"/>
  <c r="D105" i="15"/>
  <c r="E91" i="19"/>
  <c r="D117" i="19"/>
  <c r="E75" i="20"/>
  <c r="E100" i="20"/>
  <c r="E111" i="21"/>
  <c r="D74" i="23"/>
  <c r="E90" i="23"/>
  <c r="D105" i="23"/>
  <c r="D101" i="20"/>
  <c r="E92" i="15"/>
  <c r="I66" i="15"/>
  <c r="E91" i="15"/>
  <c r="E115" i="15"/>
  <c r="D75" i="19"/>
  <c r="D84" i="19"/>
  <c r="D100" i="19"/>
  <c r="D108" i="19"/>
  <c r="I66" i="20"/>
  <c r="D84" i="20"/>
  <c r="D92" i="20"/>
  <c r="D108" i="20"/>
  <c r="D117" i="20"/>
  <c r="E74" i="23"/>
  <c r="D98" i="23"/>
  <c r="E115" i="23"/>
  <c r="I66" i="17"/>
  <c r="E84" i="20"/>
  <c r="E108" i="20"/>
  <c r="D75" i="23"/>
  <c r="E82" i="23"/>
  <c r="E91" i="23"/>
  <c r="D107" i="23"/>
  <c r="D116" i="23"/>
  <c r="D76" i="15"/>
  <c r="D100" i="15"/>
  <c r="E117" i="15"/>
  <c r="D78" i="16"/>
  <c r="E75" i="23"/>
  <c r="D100" i="23"/>
  <c r="E107" i="23"/>
  <c r="E116" i="23"/>
  <c r="I66" i="19"/>
  <c r="D82" i="23"/>
  <c r="I66" i="16"/>
  <c r="I66" i="23"/>
  <c r="D84" i="23"/>
  <c r="D92" i="23"/>
  <c r="E100" i="23"/>
  <c r="D71" i="15"/>
  <c r="D87" i="15"/>
  <c r="E95" i="15"/>
  <c r="D101" i="15"/>
  <c r="D106" i="16"/>
  <c r="E95" i="16"/>
  <c r="D94" i="23"/>
  <c r="D76" i="23"/>
  <c r="E84" i="23"/>
  <c r="E92" i="23"/>
  <c r="D108" i="23"/>
  <c r="D117" i="23"/>
  <c r="D98" i="15"/>
  <c r="D106" i="15"/>
  <c r="D72" i="19"/>
  <c r="E88" i="19"/>
  <c r="D97" i="19"/>
  <c r="E72" i="20"/>
  <c r="D81" i="20"/>
  <c r="E97" i="20"/>
  <c r="D106" i="20"/>
  <c r="E76" i="23"/>
  <c r="D101" i="23"/>
  <c r="E108" i="23"/>
  <c r="E117" i="23"/>
  <c r="E71" i="15"/>
  <c r="D78" i="15"/>
  <c r="E87" i="15"/>
  <c r="E78" i="15"/>
  <c r="D96" i="15"/>
  <c r="D112" i="15"/>
  <c r="E70" i="16"/>
  <c r="E72" i="19"/>
  <c r="D81" i="19"/>
  <c r="E97" i="19"/>
  <c r="D106" i="19"/>
  <c r="E81" i="20"/>
  <c r="D90" i="20"/>
  <c r="E106" i="20"/>
  <c r="D115" i="20"/>
  <c r="E101" i="23"/>
  <c r="D102" i="24"/>
  <c r="D69" i="24"/>
  <c r="E85" i="24"/>
  <c r="D94" i="24"/>
  <c r="E110" i="24"/>
  <c r="E69" i="24"/>
  <c r="D78" i="24"/>
  <c r="E94" i="24"/>
  <c r="D103" i="24"/>
  <c r="E78" i="24"/>
  <c r="D86" i="24"/>
  <c r="E103" i="24"/>
  <c r="D112" i="24"/>
  <c r="E79" i="24"/>
  <c r="D88" i="24"/>
  <c r="E104" i="24"/>
  <c r="D113" i="24"/>
  <c r="D72" i="24"/>
  <c r="E88" i="24"/>
  <c r="D96" i="24"/>
  <c r="E113" i="24"/>
  <c r="E80" i="24"/>
  <c r="D89" i="24"/>
  <c r="E105" i="24"/>
  <c r="D114" i="24"/>
  <c r="D73" i="24"/>
  <c r="E89" i="24"/>
  <c r="D98" i="24"/>
  <c r="E114" i="24"/>
  <c r="E74" i="24"/>
  <c r="D83" i="24"/>
  <c r="E99" i="24"/>
  <c r="D108" i="24"/>
  <c r="E83" i="24"/>
  <c r="D92" i="24"/>
  <c r="E108" i="24"/>
  <c r="D116" i="24"/>
  <c r="D75" i="24"/>
  <c r="E92" i="24"/>
  <c r="D100" i="24"/>
  <c r="E116" i="24"/>
  <c r="E75" i="24"/>
  <c r="D84" i="24"/>
  <c r="E100" i="24"/>
  <c r="D109" i="24"/>
  <c r="D68" i="24"/>
  <c r="E84" i="24"/>
  <c r="D93" i="24"/>
  <c r="E110" i="23"/>
  <c r="E70" i="23"/>
  <c r="D78" i="23"/>
  <c r="E95" i="23"/>
  <c r="D104" i="23"/>
  <c r="E78" i="23"/>
  <c r="D87" i="23"/>
  <c r="E104" i="23"/>
  <c r="D112" i="23"/>
  <c r="D71" i="23"/>
  <c r="E87" i="23"/>
  <c r="D96" i="23"/>
  <c r="E112" i="23"/>
  <c r="E80" i="23"/>
  <c r="D88" i="23"/>
  <c r="E105" i="23"/>
  <c r="D114" i="23"/>
  <c r="D72" i="23"/>
  <c r="E88" i="23"/>
  <c r="D97" i="23"/>
  <c r="E114" i="23"/>
  <c r="E72" i="23"/>
  <c r="D81" i="23"/>
  <c r="E97" i="23"/>
  <c r="D106" i="23"/>
  <c r="E81" i="23"/>
  <c r="D90" i="23"/>
  <c r="E106" i="23"/>
  <c r="D115" i="23"/>
  <c r="D85" i="23"/>
  <c r="D110" i="23"/>
  <c r="E85" i="23"/>
  <c r="D118" i="23"/>
  <c r="D77" i="23"/>
  <c r="E94" i="23"/>
  <c r="D102" i="23"/>
  <c r="E118" i="23"/>
  <c r="E77" i="23"/>
  <c r="D86" i="23"/>
  <c r="E102" i="23"/>
  <c r="D111" i="23"/>
  <c r="D70" i="23"/>
  <c r="E86" i="23"/>
  <c r="D95" i="23"/>
  <c r="E78" i="22"/>
  <c r="D86" i="22"/>
  <c r="E103" i="22"/>
  <c r="D112" i="22"/>
  <c r="E80" i="22"/>
  <c r="D89" i="22"/>
  <c r="E105" i="22"/>
  <c r="D114" i="22"/>
  <c r="D73" i="22"/>
  <c r="E89" i="22"/>
  <c r="D98" i="22"/>
  <c r="E114" i="22"/>
  <c r="E73" i="22"/>
  <c r="D82" i="22"/>
  <c r="E98" i="22"/>
  <c r="D106" i="22"/>
  <c r="E82" i="22"/>
  <c r="D90" i="22"/>
  <c r="E106" i="22"/>
  <c r="E74" i="22"/>
  <c r="D83" i="22"/>
  <c r="E99" i="22"/>
  <c r="D108" i="22"/>
  <c r="E83" i="22"/>
  <c r="D92" i="22"/>
  <c r="E108" i="22"/>
  <c r="D116" i="22"/>
  <c r="D75" i="22"/>
  <c r="E92" i="22"/>
  <c r="D100" i="22"/>
  <c r="E116" i="22"/>
  <c r="E75" i="22"/>
  <c r="D84" i="22"/>
  <c r="E100" i="22"/>
  <c r="D109" i="22"/>
  <c r="D68" i="22"/>
  <c r="E84" i="22"/>
  <c r="D93" i="22"/>
  <c r="E70" i="21"/>
  <c r="D78" i="21"/>
  <c r="E95" i="21"/>
  <c r="D104" i="21"/>
  <c r="E78" i="21"/>
  <c r="D87" i="21"/>
  <c r="E104" i="21"/>
  <c r="D112" i="21"/>
  <c r="D71" i="21"/>
  <c r="E87" i="21"/>
  <c r="D96" i="21"/>
  <c r="E112" i="21"/>
  <c r="E71" i="21"/>
  <c r="D80" i="21"/>
  <c r="E96" i="21"/>
  <c r="D105" i="21"/>
  <c r="E80" i="21"/>
  <c r="E105" i="21"/>
  <c r="D114" i="21"/>
  <c r="D72" i="21"/>
  <c r="E88" i="21"/>
  <c r="D97" i="21"/>
  <c r="E114" i="21"/>
  <c r="E72" i="21"/>
  <c r="D81" i="21"/>
  <c r="E97" i="21"/>
  <c r="D106" i="21"/>
  <c r="D88" i="21"/>
  <c r="E81" i="21"/>
  <c r="D90" i="21"/>
  <c r="E106" i="21"/>
  <c r="D115" i="21"/>
  <c r="D74" i="21"/>
  <c r="E90" i="21"/>
  <c r="D98" i="21"/>
  <c r="E115" i="21"/>
  <c r="E74" i="21"/>
  <c r="E82" i="21"/>
  <c r="D91" i="21"/>
  <c r="E107" i="21"/>
  <c r="D116" i="21"/>
  <c r="D82" i="21"/>
  <c r="E98" i="21"/>
  <c r="D107" i="21"/>
  <c r="D75" i="21"/>
  <c r="E91" i="21"/>
  <c r="D100" i="21"/>
  <c r="E116" i="21"/>
  <c r="E75" i="21"/>
  <c r="D84" i="21"/>
  <c r="E100" i="21"/>
  <c r="D108" i="21"/>
  <c r="E84" i="21"/>
  <c r="D92" i="21"/>
  <c r="E108" i="21"/>
  <c r="D117" i="21"/>
  <c r="D76" i="21"/>
  <c r="E92" i="21"/>
  <c r="D101" i="21"/>
  <c r="E76" i="21"/>
  <c r="D85" i="21"/>
  <c r="E101" i="21"/>
  <c r="D110" i="21"/>
  <c r="E85" i="21"/>
  <c r="D94" i="21"/>
  <c r="E110" i="21"/>
  <c r="D118" i="21"/>
  <c r="D77" i="21"/>
  <c r="E94" i="21"/>
  <c r="D102" i="21"/>
  <c r="E118" i="21"/>
  <c r="E77" i="21"/>
  <c r="D86" i="21"/>
  <c r="E102" i="21"/>
  <c r="D111" i="21"/>
  <c r="D70" i="21"/>
  <c r="E86" i="21"/>
  <c r="D95" i="21"/>
  <c r="D70" i="20"/>
  <c r="D95" i="20"/>
  <c r="E111" i="20"/>
  <c r="E70" i="20"/>
  <c r="D78" i="20"/>
  <c r="E95" i="20"/>
  <c r="D104" i="20"/>
  <c r="E78" i="20"/>
  <c r="D87" i="20"/>
  <c r="E104" i="20"/>
  <c r="D112" i="20"/>
  <c r="E87" i="20"/>
  <c r="D96" i="20"/>
  <c r="E112" i="20"/>
  <c r="E71" i="20"/>
  <c r="D80" i="20"/>
  <c r="E96" i="20"/>
  <c r="D105" i="20"/>
  <c r="E80" i="20"/>
  <c r="D88" i="20"/>
  <c r="E105" i="20"/>
  <c r="D114" i="20"/>
  <c r="D72" i="20"/>
  <c r="E88" i="20"/>
  <c r="D97" i="20"/>
  <c r="E114" i="20"/>
  <c r="D74" i="20"/>
  <c r="E90" i="20"/>
  <c r="D98" i="20"/>
  <c r="E115" i="20"/>
  <c r="E85" i="20"/>
  <c r="D94" i="20"/>
  <c r="E110" i="20"/>
  <c r="D118" i="20"/>
  <c r="E76" i="20"/>
  <c r="D85" i="20"/>
  <c r="E101" i="20"/>
  <c r="D77" i="20"/>
  <c r="E94" i="20"/>
  <c r="D102" i="20"/>
  <c r="E118" i="20"/>
  <c r="D110" i="20"/>
  <c r="E77" i="20"/>
  <c r="D86" i="20"/>
  <c r="E102" i="20"/>
  <c r="D111" i="20"/>
  <c r="E92" i="19"/>
  <c r="E70" i="19"/>
  <c r="D78" i="19"/>
  <c r="E95" i="19"/>
  <c r="D104" i="19"/>
  <c r="E117" i="19"/>
  <c r="E78" i="19"/>
  <c r="D87" i="19"/>
  <c r="E104" i="19"/>
  <c r="D112" i="19"/>
  <c r="D76" i="19"/>
  <c r="D71" i="19"/>
  <c r="E87" i="19"/>
  <c r="D96" i="19"/>
  <c r="E112" i="19"/>
  <c r="D101" i="19"/>
  <c r="E71" i="19"/>
  <c r="D80" i="19"/>
  <c r="E96" i="19"/>
  <c r="D105" i="19"/>
  <c r="E80" i="19"/>
  <c r="D88" i="19"/>
  <c r="E105" i="19"/>
  <c r="D114" i="19"/>
  <c r="E114" i="19"/>
  <c r="E81" i="19"/>
  <c r="D90" i="19"/>
  <c r="E106" i="19"/>
  <c r="D115" i="19"/>
  <c r="E115" i="19"/>
  <c r="E85" i="19"/>
  <c r="D94" i="19"/>
  <c r="E110" i="19"/>
  <c r="D118" i="19"/>
  <c r="D110" i="19"/>
  <c r="D77" i="19"/>
  <c r="E94" i="19"/>
  <c r="D102" i="19"/>
  <c r="E118" i="19"/>
  <c r="E76" i="19"/>
  <c r="E101" i="19"/>
  <c r="E77" i="19"/>
  <c r="D86" i="19"/>
  <c r="E102" i="19"/>
  <c r="D111" i="19"/>
  <c r="D70" i="19"/>
  <c r="E86" i="19"/>
  <c r="D95" i="19"/>
  <c r="E95" i="18"/>
  <c r="D104" i="18"/>
  <c r="E78" i="18"/>
  <c r="D87" i="18"/>
  <c r="E104" i="18"/>
  <c r="D112" i="18"/>
  <c r="D70" i="18"/>
  <c r="D78" i="18"/>
  <c r="D71" i="18"/>
  <c r="E87" i="18"/>
  <c r="D96" i="18"/>
  <c r="E112" i="18"/>
  <c r="E70" i="18"/>
  <c r="E71" i="18"/>
  <c r="D80" i="18"/>
  <c r="E96" i="18"/>
  <c r="D105" i="18"/>
  <c r="E80" i="18"/>
  <c r="E105" i="18"/>
  <c r="E97" i="18"/>
  <c r="E81" i="18"/>
  <c r="D90" i="18"/>
  <c r="E106" i="18"/>
  <c r="D115" i="18"/>
  <c r="D88" i="18"/>
  <c r="D114" i="18"/>
  <c r="D72" i="18"/>
  <c r="E88" i="18"/>
  <c r="D97" i="18"/>
  <c r="E114" i="18"/>
  <c r="E72" i="18"/>
  <c r="D81" i="18"/>
  <c r="D106" i="18"/>
  <c r="D74" i="18"/>
  <c r="E90" i="18"/>
  <c r="D98" i="18"/>
  <c r="E115" i="18"/>
  <c r="D82" i="18"/>
  <c r="D107" i="18"/>
  <c r="E82" i="18"/>
  <c r="E107" i="18"/>
  <c r="D116" i="18"/>
  <c r="E86" i="18"/>
  <c r="D95" i="18"/>
  <c r="E111" i="18"/>
  <c r="E74" i="18"/>
  <c r="E98" i="18"/>
  <c r="D91" i="18"/>
  <c r="D75" i="18"/>
  <c r="E91" i="18"/>
  <c r="D100" i="18"/>
  <c r="E116" i="18"/>
  <c r="E75" i="18"/>
  <c r="D84" i="18"/>
  <c r="E100" i="18"/>
  <c r="D108" i="18"/>
  <c r="E108" i="18"/>
  <c r="D117" i="18"/>
  <c r="D76" i="18"/>
  <c r="E92" i="18"/>
  <c r="D101" i="18"/>
  <c r="E117" i="18"/>
  <c r="E76" i="18"/>
  <c r="D85" i="18"/>
  <c r="E101" i="18"/>
  <c r="D110" i="18"/>
  <c r="E85" i="18"/>
  <c r="D94" i="18"/>
  <c r="E110" i="18"/>
  <c r="D118" i="18"/>
  <c r="D77" i="18"/>
  <c r="E94" i="18"/>
  <c r="D102" i="18"/>
  <c r="E118" i="18"/>
  <c r="E77" i="18"/>
  <c r="D86" i="18"/>
  <c r="E102" i="18"/>
  <c r="E70" i="17"/>
  <c r="E95" i="17"/>
  <c r="D104" i="17"/>
  <c r="E78" i="17"/>
  <c r="D87" i="17"/>
  <c r="E104" i="17"/>
  <c r="D112" i="17"/>
  <c r="D71" i="17"/>
  <c r="E87" i="17"/>
  <c r="D96" i="17"/>
  <c r="E112" i="17"/>
  <c r="E71" i="17"/>
  <c r="D80" i="17"/>
  <c r="E96" i="17"/>
  <c r="D105" i="17"/>
  <c r="D78" i="17"/>
  <c r="E80" i="17"/>
  <c r="D88" i="17"/>
  <c r="E105" i="17"/>
  <c r="D114" i="17"/>
  <c r="D70" i="17"/>
  <c r="E86" i="17"/>
  <c r="E111" i="17"/>
  <c r="E88" i="17"/>
  <c r="E114" i="17"/>
  <c r="E74" i="17"/>
  <c r="D75" i="17"/>
  <c r="E116" i="17"/>
  <c r="E75" i="17"/>
  <c r="D84" i="17"/>
  <c r="E100" i="17"/>
  <c r="D108" i="17"/>
  <c r="D115" i="17"/>
  <c r="D74" i="17"/>
  <c r="E107" i="17"/>
  <c r="E84" i="17"/>
  <c r="D92" i="17"/>
  <c r="E108" i="17"/>
  <c r="D117" i="17"/>
  <c r="E72" i="17"/>
  <c r="D81" i="17"/>
  <c r="E97" i="17"/>
  <c r="D90" i="17"/>
  <c r="E106" i="17"/>
  <c r="D98" i="17"/>
  <c r="E115" i="17"/>
  <c r="E82" i="17"/>
  <c r="D91" i="17"/>
  <c r="D116" i="17"/>
  <c r="E91" i="17"/>
  <c r="D100" i="17"/>
  <c r="D76" i="17"/>
  <c r="E92" i="17"/>
  <c r="D101" i="17"/>
  <c r="E117" i="17"/>
  <c r="D95" i="17"/>
  <c r="E81" i="17"/>
  <c r="D82" i="17"/>
  <c r="D107" i="17"/>
  <c r="E76" i="17"/>
  <c r="D85" i="17"/>
  <c r="E101" i="17"/>
  <c r="E85" i="17"/>
  <c r="D94" i="17"/>
  <c r="E110" i="17"/>
  <c r="D118" i="17"/>
  <c r="E90" i="17"/>
  <c r="E98" i="17"/>
  <c r="D110" i="17"/>
  <c r="D77" i="17"/>
  <c r="E94" i="17"/>
  <c r="D102" i="17"/>
  <c r="E118" i="17"/>
  <c r="D72" i="17"/>
  <c r="D97" i="17"/>
  <c r="D106" i="17"/>
  <c r="E77" i="17"/>
  <c r="D86" i="17"/>
  <c r="E102" i="17"/>
  <c r="E78" i="16"/>
  <c r="D87" i="16"/>
  <c r="E104" i="16"/>
  <c r="D112" i="16"/>
  <c r="D71" i="16"/>
  <c r="E87" i="16"/>
  <c r="D96" i="16"/>
  <c r="E112" i="16"/>
  <c r="E71" i="16"/>
  <c r="D80" i="16"/>
  <c r="E96" i="16"/>
  <c r="D105" i="16"/>
  <c r="E80" i="16"/>
  <c r="D88" i="16"/>
  <c r="E105" i="16"/>
  <c r="D114" i="16"/>
  <c r="E81" i="16"/>
  <c r="D90" i="16"/>
  <c r="E106" i="16"/>
  <c r="D115" i="16"/>
  <c r="E88" i="16"/>
  <c r="E72" i="16"/>
  <c r="E97" i="16"/>
  <c r="D74" i="16"/>
  <c r="E90" i="16"/>
  <c r="D98" i="16"/>
  <c r="E115" i="16"/>
  <c r="D97" i="16"/>
  <c r="E74" i="16"/>
  <c r="D82" i="16"/>
  <c r="E98" i="16"/>
  <c r="D107" i="16"/>
  <c r="E82" i="16"/>
  <c r="D91" i="16"/>
  <c r="E107" i="16"/>
  <c r="D116" i="16"/>
  <c r="D72" i="16"/>
  <c r="E114" i="16"/>
  <c r="D81" i="16"/>
  <c r="D75" i="16"/>
  <c r="E91" i="16"/>
  <c r="D100" i="16"/>
  <c r="E116" i="16"/>
  <c r="E75" i="16"/>
  <c r="D84" i="16"/>
  <c r="E100" i="16"/>
  <c r="D108" i="16"/>
  <c r="E84" i="16"/>
  <c r="D92" i="16"/>
  <c r="E108" i="16"/>
  <c r="D117" i="16"/>
  <c r="D76" i="16"/>
  <c r="E92" i="16"/>
  <c r="D101" i="16"/>
  <c r="E117" i="16"/>
  <c r="E76" i="16"/>
  <c r="D85" i="16"/>
  <c r="E101" i="16"/>
  <c r="D110" i="16"/>
  <c r="E85" i="16"/>
  <c r="D94" i="16"/>
  <c r="E110" i="16"/>
  <c r="D118" i="16"/>
  <c r="D77" i="16"/>
  <c r="E94" i="16"/>
  <c r="D102" i="16"/>
  <c r="E118" i="16"/>
  <c r="E77" i="16"/>
  <c r="D86" i="16"/>
  <c r="E102" i="16"/>
  <c r="D111" i="16"/>
  <c r="D70" i="16"/>
  <c r="E86" i="16"/>
  <c r="D95" i="16"/>
  <c r="E80" i="15"/>
  <c r="D88" i="15"/>
  <c r="E105" i="15"/>
  <c r="D114" i="15"/>
  <c r="E81" i="15"/>
  <c r="D90" i="15"/>
  <c r="E106" i="15"/>
  <c r="D115" i="15"/>
  <c r="E74" i="15"/>
  <c r="D82" i="15"/>
  <c r="E98" i="15"/>
  <c r="D107" i="15"/>
  <c r="E82" i="15"/>
  <c r="D91" i="15"/>
  <c r="E107" i="15"/>
  <c r="D116" i="15"/>
  <c r="E116" i="15"/>
  <c r="E75" i="15"/>
  <c r="D84" i="15"/>
  <c r="E100" i="15"/>
  <c r="D108" i="15"/>
  <c r="E84" i="15"/>
  <c r="D92" i="15"/>
  <c r="E108" i="15"/>
  <c r="D117" i="15"/>
  <c r="E76" i="15"/>
  <c r="D85" i="15"/>
  <c r="E101" i="15"/>
  <c r="D110" i="15"/>
  <c r="E85" i="15"/>
  <c r="D94" i="15"/>
  <c r="E110" i="15"/>
  <c r="D118" i="15"/>
  <c r="D77" i="15"/>
  <c r="E94" i="15"/>
  <c r="E118" i="15"/>
  <c r="E77" i="15"/>
  <c r="D86" i="15"/>
  <c r="E102" i="15"/>
  <c r="D111" i="15"/>
  <c r="D70" i="15"/>
  <c r="E86" i="15"/>
  <c r="D95" i="15"/>
  <c r="I64" i="12"/>
  <c r="E116" i="12"/>
  <c r="D68" i="12"/>
  <c r="D73" i="12"/>
  <c r="D78" i="12"/>
  <c r="D83" i="12"/>
  <c r="D88" i="12"/>
  <c r="D93" i="12"/>
  <c r="D98" i="12"/>
  <c r="D103" i="12"/>
  <c r="D108" i="12"/>
  <c r="D113" i="12"/>
  <c r="E68" i="12"/>
  <c r="E73" i="12"/>
  <c r="E78" i="12"/>
  <c r="E83" i="12"/>
  <c r="E88" i="12"/>
  <c r="E93" i="12"/>
  <c r="E98" i="12"/>
  <c r="E103" i="12"/>
  <c r="E108" i="12"/>
  <c r="E113" i="12"/>
  <c r="D69" i="12"/>
  <c r="D74" i="12"/>
  <c r="D79" i="12"/>
  <c r="D84" i="12"/>
  <c r="D89" i="12"/>
  <c r="D94" i="12"/>
  <c r="D99" i="12"/>
  <c r="D104" i="12"/>
  <c r="D109" i="12"/>
  <c r="D114" i="12"/>
  <c r="E69" i="12"/>
  <c r="E74" i="12"/>
  <c r="E79" i="12"/>
  <c r="E84" i="12"/>
  <c r="E89" i="12"/>
  <c r="E94" i="12"/>
  <c r="E99" i="12"/>
  <c r="E104" i="12"/>
  <c r="E109" i="12"/>
  <c r="E114" i="12"/>
  <c r="D70" i="12"/>
  <c r="D75" i="12"/>
  <c r="D80" i="12"/>
  <c r="D85" i="12"/>
  <c r="D90" i="12"/>
  <c r="D95" i="12"/>
  <c r="D100" i="12"/>
  <c r="D105" i="12"/>
  <c r="D110" i="12"/>
  <c r="D115" i="12"/>
  <c r="E70" i="12"/>
  <c r="E75" i="12"/>
  <c r="E80" i="12"/>
  <c r="E85" i="12"/>
  <c r="E90" i="12"/>
  <c r="E95" i="12"/>
  <c r="E100" i="12"/>
  <c r="E105" i="12"/>
  <c r="E110" i="12"/>
  <c r="E115" i="12"/>
  <c r="D72" i="12"/>
  <c r="D76" i="12"/>
  <c r="D82" i="12"/>
  <c r="D86" i="12"/>
  <c r="D92" i="12"/>
  <c r="D96" i="12"/>
  <c r="D102" i="12"/>
  <c r="D106" i="12"/>
  <c r="D112" i="12"/>
  <c r="D116" i="12"/>
  <c r="E72" i="12"/>
  <c r="E76" i="12"/>
  <c r="E82" i="12"/>
  <c r="E86" i="12"/>
  <c r="E92" i="12"/>
  <c r="E96" i="12"/>
  <c r="E102" i="12"/>
  <c r="E106" i="12"/>
  <c r="E112"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F51" i="24" l="1"/>
  <c r="F36" i="24"/>
  <c r="F44" i="24"/>
  <c r="F57" i="24"/>
  <c r="F37" i="24"/>
  <c r="F49" i="24"/>
  <c r="F50" i="24"/>
  <c r="F63" i="24"/>
  <c r="F43" i="24"/>
  <c r="F62" i="24"/>
  <c r="F56" i="24"/>
  <c r="F42" i="24"/>
  <c r="F55" i="24"/>
  <c r="F35" i="24"/>
  <c r="F48" i="24"/>
  <c r="F61" i="24"/>
  <c r="F41" i="24"/>
  <c r="F54" i="24"/>
  <c r="F34" i="24"/>
  <c r="F53" i="24"/>
  <c r="F47" i="24"/>
  <c r="F60" i="24"/>
  <c r="F40" i="24"/>
  <c r="F46" i="24"/>
  <c r="F59" i="24"/>
  <c r="F39" i="24"/>
  <c r="F45" i="24"/>
  <c r="F33" i="24"/>
  <c r="F52" i="24"/>
  <c r="F58" i="24"/>
  <c r="F38" i="24"/>
  <c r="F32" i="24"/>
  <c r="F53" i="23"/>
  <c r="F46" i="23"/>
  <c r="F59" i="23"/>
  <c r="F39" i="23"/>
  <c r="F52" i="23"/>
  <c r="F65" i="23"/>
  <c r="F45" i="23"/>
  <c r="F58" i="23"/>
  <c r="F51" i="23"/>
  <c r="F44" i="23"/>
  <c r="F57" i="23"/>
  <c r="F63" i="23"/>
  <c r="F56" i="23"/>
  <c r="F36" i="23"/>
  <c r="F64" i="23"/>
  <c r="F49" i="23"/>
  <c r="F62" i="23"/>
  <c r="F42" i="23"/>
  <c r="F61" i="23"/>
  <c r="F55" i="23"/>
  <c r="F35" i="23"/>
  <c r="F48" i="23"/>
  <c r="F41" i="23"/>
  <c r="F54" i="23"/>
  <c r="F34" i="23"/>
  <c r="F37" i="23"/>
  <c r="F50" i="23"/>
  <c r="F47" i="23"/>
  <c r="F60" i="23"/>
  <c r="F40" i="23"/>
  <c r="F38" i="23"/>
  <c r="F43" i="23"/>
  <c r="F51" i="22"/>
  <c r="F54" i="22"/>
  <c r="F53" i="22"/>
  <c r="F44" i="22"/>
  <c r="F57" i="22"/>
  <c r="F37" i="22"/>
  <c r="F36" i="22"/>
  <c r="F41" i="22"/>
  <c r="F47" i="22"/>
  <c r="F60" i="22"/>
  <c r="F50" i="22"/>
  <c r="F63" i="22"/>
  <c r="F43" i="22"/>
  <c r="F56" i="22"/>
  <c r="F49" i="22"/>
  <c r="F38" i="22"/>
  <c r="F62" i="22"/>
  <c r="F42" i="22"/>
  <c r="F33" i="22"/>
  <c r="F58" i="22"/>
  <c r="F55" i="22"/>
  <c r="F35" i="22"/>
  <c r="F48" i="22"/>
  <c r="F34" i="22"/>
  <c r="F61" i="22"/>
  <c r="F40" i="22"/>
  <c r="F46" i="22"/>
  <c r="F59" i="22"/>
  <c r="F39" i="22"/>
  <c r="F52" i="22"/>
  <c r="F45" i="22"/>
  <c r="F32" i="22"/>
  <c r="F53" i="21"/>
  <c r="F46" i="21"/>
  <c r="F38" i="21"/>
  <c r="F59" i="21"/>
  <c r="F39" i="21"/>
  <c r="F52" i="21"/>
  <c r="F65" i="21"/>
  <c r="F45" i="21"/>
  <c r="F58" i="21"/>
  <c r="F51" i="21"/>
  <c r="F64" i="21"/>
  <c r="F43" i="21"/>
  <c r="F57" i="21"/>
  <c r="F37" i="21"/>
  <c r="F63" i="21"/>
  <c r="F50" i="21"/>
  <c r="F56" i="21"/>
  <c r="F36" i="21"/>
  <c r="F49" i="21"/>
  <c r="F48" i="21"/>
  <c r="F62" i="21"/>
  <c r="F42" i="21"/>
  <c r="F34" i="21"/>
  <c r="F55" i="21"/>
  <c r="F35" i="21"/>
  <c r="F61" i="21"/>
  <c r="F41" i="21"/>
  <c r="F54" i="21"/>
  <c r="F47" i="21"/>
  <c r="F44" i="21"/>
  <c r="F60" i="21"/>
  <c r="F40" i="21"/>
  <c r="F64" i="20"/>
  <c r="F46" i="20"/>
  <c r="F45" i="20"/>
  <c r="F38" i="20"/>
  <c r="F43" i="20"/>
  <c r="F59" i="20"/>
  <c r="F39" i="20"/>
  <c r="F65" i="20"/>
  <c r="F58" i="20"/>
  <c r="F57" i="20"/>
  <c r="F52" i="20"/>
  <c r="F50" i="20"/>
  <c r="F56" i="20"/>
  <c r="F36" i="20"/>
  <c r="F49" i="20"/>
  <c r="F63" i="20"/>
  <c r="F62" i="20"/>
  <c r="F42" i="20"/>
  <c r="F55" i="20"/>
  <c r="F35" i="20"/>
  <c r="F44" i="20"/>
  <c r="F48" i="20"/>
  <c r="F61" i="20"/>
  <c r="F41" i="20"/>
  <c r="F34" i="20"/>
  <c r="F47" i="20"/>
  <c r="F51" i="20"/>
  <c r="F37" i="20"/>
  <c r="F54" i="20"/>
  <c r="F60" i="20"/>
  <c r="F40" i="20"/>
  <c r="F53" i="20"/>
  <c r="F53" i="19"/>
  <c r="F46" i="19"/>
  <c r="F59" i="19"/>
  <c r="F39" i="19"/>
  <c r="F65" i="19"/>
  <c r="F51" i="19"/>
  <c r="F63" i="19"/>
  <c r="F52" i="19"/>
  <c r="F45" i="19"/>
  <c r="F58" i="19"/>
  <c r="F64" i="19"/>
  <c r="F37" i="19"/>
  <c r="F56" i="19"/>
  <c r="F36" i="19"/>
  <c r="F49" i="19"/>
  <c r="F42" i="19"/>
  <c r="F62" i="19"/>
  <c r="F35" i="19"/>
  <c r="F55" i="19"/>
  <c r="F48" i="19"/>
  <c r="F57" i="19"/>
  <c r="F61" i="19"/>
  <c r="F41" i="19"/>
  <c r="F38" i="19"/>
  <c r="F43" i="19"/>
  <c r="F54" i="19"/>
  <c r="F34" i="19"/>
  <c r="F44" i="19"/>
  <c r="F50" i="19"/>
  <c r="F47" i="19"/>
  <c r="F60" i="19"/>
  <c r="F40" i="19"/>
  <c r="F46" i="18"/>
  <c r="F59" i="18"/>
  <c r="F39" i="18"/>
  <c r="F52" i="18"/>
  <c r="F65" i="18"/>
  <c r="F45" i="18"/>
  <c r="F58" i="18"/>
  <c r="F64" i="18"/>
  <c r="F44" i="18"/>
  <c r="F57" i="18"/>
  <c r="F37" i="18"/>
  <c r="F53" i="18"/>
  <c r="F50" i="18"/>
  <c r="F63" i="18"/>
  <c r="F43" i="18"/>
  <c r="F56" i="18"/>
  <c r="F36" i="18"/>
  <c r="F62" i="18"/>
  <c r="F42" i="18"/>
  <c r="F55" i="18"/>
  <c r="F49" i="18"/>
  <c r="F35" i="18"/>
  <c r="F48" i="18"/>
  <c r="F38" i="18"/>
  <c r="F61" i="18"/>
  <c r="F41" i="18"/>
  <c r="F47" i="18"/>
  <c r="F40" i="18"/>
  <c r="F54" i="18"/>
  <c r="F60" i="18"/>
  <c r="F51" i="18"/>
  <c r="F34" i="18"/>
  <c r="F46" i="17"/>
  <c r="F36" i="17"/>
  <c r="F42" i="17"/>
  <c r="F59" i="17"/>
  <c r="F39" i="17"/>
  <c r="F43" i="17"/>
  <c r="F52" i="17"/>
  <c r="F65" i="17"/>
  <c r="F45" i="17"/>
  <c r="F63" i="17"/>
  <c r="F62" i="17"/>
  <c r="F55" i="17"/>
  <c r="F58" i="17"/>
  <c r="F38" i="17"/>
  <c r="F57" i="17"/>
  <c r="F50" i="17"/>
  <c r="F56" i="17"/>
  <c r="F49" i="17"/>
  <c r="F51" i="17"/>
  <c r="F37" i="17"/>
  <c r="F35" i="17"/>
  <c r="F64" i="17"/>
  <c r="F44" i="17"/>
  <c r="F53" i="17"/>
  <c r="F48" i="17"/>
  <c r="F47" i="17"/>
  <c r="F61" i="17"/>
  <c r="F41" i="17"/>
  <c r="F54" i="17"/>
  <c r="F60" i="17"/>
  <c r="F40" i="17"/>
  <c r="F34" i="17"/>
  <c r="F53" i="16"/>
  <c r="F46" i="16"/>
  <c r="F60" i="16"/>
  <c r="F59" i="16"/>
  <c r="F39" i="16"/>
  <c r="F52" i="16"/>
  <c r="F65" i="16"/>
  <c r="F45" i="16"/>
  <c r="F40" i="16"/>
  <c r="F58" i="16"/>
  <c r="F38" i="16"/>
  <c r="F51" i="16"/>
  <c r="F47" i="16"/>
  <c r="F64" i="16"/>
  <c r="F44" i="16"/>
  <c r="F57" i="16"/>
  <c r="F37" i="16"/>
  <c r="F35" i="16"/>
  <c r="F50" i="16"/>
  <c r="F63" i="16"/>
  <c r="F43" i="16"/>
  <c r="F62" i="16"/>
  <c r="F56" i="16"/>
  <c r="F36" i="16"/>
  <c r="F49" i="16"/>
  <c r="F42" i="16"/>
  <c r="F55" i="16"/>
  <c r="F48" i="16"/>
  <c r="F61" i="16"/>
  <c r="F41" i="16"/>
  <c r="F54" i="16"/>
  <c r="F34" i="16"/>
  <c r="F53" i="15"/>
  <c r="F46" i="15"/>
  <c r="F38" i="15"/>
  <c r="F49" i="15"/>
  <c r="F42" i="15"/>
  <c r="F40" i="15"/>
  <c r="F59" i="15"/>
  <c r="F39" i="15"/>
  <c r="F47" i="15"/>
  <c r="F52" i="15"/>
  <c r="F34" i="15"/>
  <c r="F65" i="15"/>
  <c r="F45" i="15"/>
  <c r="F58" i="15"/>
  <c r="F35" i="15"/>
  <c r="F51" i="15"/>
  <c r="F62" i="15"/>
  <c r="F55" i="15"/>
  <c r="F54" i="15"/>
  <c r="F64" i="15"/>
  <c r="F44" i="15"/>
  <c r="F57" i="15"/>
  <c r="F37" i="15"/>
  <c r="F50" i="15"/>
  <c r="F43" i="15"/>
  <c r="F36" i="15"/>
  <c r="F63" i="15"/>
  <c r="F56" i="15"/>
  <c r="F60" i="15"/>
  <c r="F48" i="15"/>
  <c r="F61" i="15"/>
  <c r="F41" i="15"/>
  <c r="F32" i="12"/>
  <c r="F63" i="12"/>
  <c r="F59" i="12"/>
  <c r="F55" i="12"/>
  <c r="F51" i="12"/>
  <c r="F47" i="12"/>
  <c r="F43" i="12"/>
  <c r="F39" i="12"/>
  <c r="F35" i="12"/>
  <c r="F62" i="12"/>
  <c r="F58" i="12"/>
  <c r="F54" i="12"/>
  <c r="F50" i="12"/>
  <c r="F46" i="12"/>
  <c r="F42" i="12"/>
  <c r="F38" i="12"/>
  <c r="F34" i="12"/>
  <c r="F61" i="12"/>
  <c r="F57" i="12"/>
  <c r="F53" i="12"/>
  <c r="F49" i="12"/>
  <c r="F45" i="12"/>
  <c r="F41" i="12"/>
  <c r="F37" i="12"/>
  <c r="F33" i="12"/>
  <c r="F56" i="12"/>
  <c r="F52" i="12"/>
  <c r="F48" i="12"/>
  <c r="F44" i="12"/>
  <c r="F36" i="12"/>
  <c r="F60" i="12"/>
  <c r="F40"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64" i="24" l="1"/>
  <c r="C11" i="24" s="1"/>
  <c r="F66" i="23"/>
  <c r="C11" i="23" s="1"/>
  <c r="F64" i="22"/>
  <c r="C11" i="22" s="1"/>
  <c r="F66" i="21"/>
  <c r="C11" i="21" s="1"/>
  <c r="F66" i="20"/>
  <c r="C11" i="20" s="1"/>
  <c r="F66" i="19"/>
  <c r="C11" i="19" s="1"/>
  <c r="F66" i="18"/>
  <c r="C11" i="18" s="1"/>
  <c r="F66" i="17"/>
  <c r="C11" i="17" s="1"/>
  <c r="F66" i="16"/>
  <c r="C11" i="16" s="1"/>
  <c r="F66" i="15"/>
  <c r="C11" i="15" s="1"/>
  <c r="F64" i="12"/>
  <c r="C11" i="12" s="1"/>
</calcChain>
</file>

<file path=xl/sharedStrings.xml><?xml version="1.0" encoding="utf-8"?>
<sst xmlns="http://schemas.openxmlformats.org/spreadsheetml/2006/main" count="2555" uniqueCount="383">
  <si>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</si>
  <si>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</si>
  <si>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</si>
  <si>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</si>
  <si>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</si>
  <si>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</si>
  <si>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</si>
  <si>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</si>
  <si>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</si>
  <si>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</si>
  <si>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</si>
  <si>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</si>
  <si>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</si>
  <si>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</si>
  <si>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</si>
  <si>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</si>
  <si>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</si>
  <si>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</si>
  <si>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</si>
  <si>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</si>
  <si>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</si>
  <si>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</si>
  <si>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</si>
  <si>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</si>
  <si>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</si>
  <si>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</si>
  <si>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</si>
  <si>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</si>
  <si>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</si>
  <si>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</si>
  <si>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</si>
  <si>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</si>
  <si>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</si>
  <si>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</si>
  <si>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</si>
  <si>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</si>
  <si>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</si>
  <si>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</si>
  <si>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</si>
  <si>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</si>
  <si>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</si>
  <si>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</si>
  <si>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</si>
  <si>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</si>
  <si>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</si>
  <si>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</si>
  <si>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</si>
  <si>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</si>
  <si>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</si>
  <si>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</si>
  <si>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</si>
  <si>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</si>
  <si>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</si>
  <si>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</si>
  <si>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</si>
  <si>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</si>
  <si>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L8</t>
  </si>
  <si>
    <t>UI/UX 가이드 제작</t>
  </si>
  <si>
    <t>프로토타입 기초데이터 수집 및 스케치</t>
  </si>
  <si>
    <t>디지털디자인 프로젝트 설계</t>
  </si>
  <si>
    <t>디지털디자인 프로젝트 기초조사</t>
  </si>
  <si>
    <t>정보기술컨설팅</t>
  </si>
  <si>
    <t>2001010201_19v4</t>
  </si>
  <si>
    <t>정보기술 컨설팅이 대상 조직에 왜 필요한지 무엇을 하여야 하는지를 분석하기 위해 필요한 비즈니스 영역을 이해하고 정보기술 컨설팅 진행에 필요한 범위, 일정, 조직 그리고 방 법론을 준비하는 능력이다.</t>
  </si>
  <si>
    <t>정보기술 컨설팅 기획</t>
  </si>
  <si>
    <t>IT컨설팅 및 기획</t>
    <phoneticPr fontId="2" type="noConversion"/>
  </si>
  <si>
    <t>능력단위설명</t>
    <phoneticPr fontId="2" type="noConversion"/>
  </si>
  <si>
    <t>세분류</t>
  </si>
  <si>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</si>
  <si>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</si>
  <si>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</si>
  <si>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</si>
  <si>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</si>
  <si>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9"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</si>
  <si>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9"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</si>
  <si>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</si>
  <si>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</si>
  <si>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9" type="noConversion"/>
  </si>
  <si>
    <t>설명</t>
    <phoneticPr fontId="2" type="noConversion"/>
  </si>
  <si>
    <t>역량</t>
    <phoneticPr fontId="2" type="noConversion"/>
  </si>
  <si>
    <t>능력단위 요소 코드</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</si>
  <si>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</si>
  <si>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</si>
  <si>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</si>
  <si>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</si>
  <si>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</si>
  <si>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</si>
  <si>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</si>
  <si>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</si>
  <si>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</si>
  <si>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</si>
  <si>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</si>
  <si>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</si>
  <si>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</si>
  <si>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</si>
  <si>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</si>
  <si>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</si>
  <si>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의료기기등급분류</t>
  </si>
  <si>
    <t>1903090203_21v2</t>
  </si>
  <si>
    <t>임상시험</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</si>
  <si>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</si>
  <si>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</si>
  <si>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</si>
  <si>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</si>
  <si>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</si>
  <si>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</si>
  <si>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</si>
  <si>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</si>
  <si>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</si>
  <si>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</si>
  <si>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</si>
  <si>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</si>
  <si>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</si>
  <si>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</si>
  <si>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</si>
  <si>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</si>
  <si>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</si>
  <si>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</si>
  <si>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</si>
  <si>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</si>
  <si>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</si>
  <si>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</si>
  <si>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</si>
  <si>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</si>
  <si>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</si>
  <si>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</si>
  <si>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</si>
  <si>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</si>
  <si>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</si>
  <si>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</si>
  <si>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</si>
  <si>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</si>
  <si>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</si>
  <si>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</si>
  <si>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</si>
  <si>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</si>
  <si>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</si>
  <si>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</si>
  <si>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</si>
  <si>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</si>
  <si>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</si>
  <si>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</si>
  <si>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</si>
  <si>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</si>
  <si>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</si>
  <si>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</si>
  <si>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</si>
  <si>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</si>
  <si>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</si>
  <si>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</si>
  <si>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</si>
  <si>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</si>
  <si>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</si>
  <si>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</si>
  <si>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</si>
  <si>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</si>
  <si>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</si>
  <si>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</si>
  <si>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</si>
  <si>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의료기기 생산 기반 시설 관리</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</si>
  <si>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</si>
  <si>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</si>
  <si>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</si>
  <si>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</si>
  <si>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</si>
  <si>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</si>
  <si>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</si>
  <si>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</si>
  <si>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</si>
  <si>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</si>
  <si>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</si>
  <si>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</si>
  <si>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</si>
  <si>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</si>
  <si>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</si>
  <si>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</si>
  <si>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</si>
  <si>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</si>
  <si>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</si>
  <si>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</si>
  <si>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</si>
  <si>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</si>
  <si>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</si>
  <si>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</si>
  <si>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</si>
  <si>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</si>
  <si>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</si>
  <si>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</si>
  <si>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</si>
  <si>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</si>
  <si>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</si>
  <si>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</si>
  <si>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</si>
  <si>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</si>
  <si>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</si>
  <si>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</si>
  <si>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</si>
  <si>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</si>
  <si>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</si>
  <si>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</si>
  <si>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</si>
  <si>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</si>
  <si>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</si>
  <si>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</si>
  <si>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</si>
  <si>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</si>
  <si>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</si>
  <si>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</si>
  <si>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</si>
  <si>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</si>
  <si>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</si>
  <si>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</si>
  <si>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</si>
  <si>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</si>
  <si>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</si>
  <si>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</si>
  <si>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</si>
  <si>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</si>
  <si>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</si>
  <si>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09.의료장비제조 &gt; 01.의료기기품질관리&gt; 의료기기 품질시스템 자원관리</t>
  </si>
  <si>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</si>
  <si>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</si>
  <si>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</si>
  <si>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</si>
  <si>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</si>
  <si>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</si>
  <si>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</si>
  <si>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</si>
  <si>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</si>
  <si>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</si>
  <si>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</si>
  <si>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</si>
  <si>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</si>
  <si>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</si>
  <si>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</si>
  <si>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</si>
  <si>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</si>
  <si>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</si>
  <si>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</si>
  <si>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</si>
  <si>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</si>
  <si>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</si>
  <si>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</si>
  <si>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LLM 구조 및 의료 산업 특화 작동 원리 이해 (ChatGPT, Claude)
1. AI 패러다임 변화 2. 생성형 AI 모델 구조 이해 3. 의료/바이오 적용 한계와 가능성 4. 기초 툴 실습
업무 전환을 위한 프롬프트 기본 구조 실습 (ChatGPT 등)
1. 프롬프트 3요소 2. 컨텍스트 부여 방법 3. 페르소나 및 출력 제어 4. 직무별 적용 실습
민감정보 처리, 저작권, 윤리 가이드라인 학습 (비식별화 툴)
1. 의료 AI 윤리 개요 2. 개인정보 비식별화 역량 3. 저작권 문제 4. 사내 보안 가이드라인 기초</t>
    <phoneticPr fontId="2" type="noConversion"/>
  </si>
  <si>
    <t>의료기기 개발·제조 기업 종사자 중 품질관리, 인허가(RA), 생산관리, 연구개발(R&amp;D), 임상 등 부서에서 AI 활용 역량이 필요한 실무자 및 관리자</t>
  </si>
  <si>
    <t>품질관리자, 인허가담당자(RA), 생산관리자, R&amp;D 연구원, 임상담당자</t>
  </si>
  <si>
    <t>20명</t>
  </si>
  <si>
    <t>의료기기 산업 특화 AI 전환(AX) 교육과정으로, 4차 산업혁명 핵심 기술인 생성형 AI(LLM)를 의료기기 품질관리·인허가·생산 등 실무에 접목하는 신기술 융복합 과정임. 의료기기 GMP(QMS), IEC 62304(의료기기 소프트웨어), FDA/MFDS 규제 환경을 고려한 AI 리터러시 역량을 배양하며, AI 기반 업무 전환(AX)을 위한 미래전략산업 직종 대응 과정임</t>
  </si>
  <si>
    <t>본 과정은 의료기기 산업 종사자를 대상으로 생성형 AI(LLM)의 구조와 작동 원리를 의료·바이오 맥락에서 이해하고, 프롬프트 엔지니어링 기법을 활용하여 품질관리 문서 작성, 인허가 자료 검토, CAPA 보고서 초안 작성 등 직무별 업무에 즉시 적용할 수 있는 실습 중심 교육을 실시함. 또한 의료 데이터의 민감정보 처리, 비식별화 기법, AI 활용 시 저작권·윤리 이슈 및 사내 보안 가이드라인을 학습하여 규제 환경에 적합한 AI 활용 역량을 갖추도록 함</t>
  </si>
  <si>
    <t>본 과정은 의료기기 품질시스템 자원관리(NCS 세분류 1903090102)를 기반으로 하되, 기존 NCS 능력단위에 생성형 AI·LLM 활용 역량 및 AI 전환(AX) 관련 내용이 미반영되어 있어, 의료기기 산업 현장의 AI 도입 수요와 규제 환경(MFDS, FDA, IEC 62304)에 맞춘 AI 리터러시 교육 내용을 별도 설계하여 NCS 비적용으로 운영함</t>
  </si>
  <si>
    <t>의료기기 개발·제조 실무자가 생성형 AI(LLM)의 구조와 원리를 이해하고, 의료기기 품질관리·인허가·생산 업무에 프롬프트 엔지니어링 기법을 적용하여 업무 효율성을 향상시키며, 의료 데이터 보안·윤리·규제 가이드라인을 준수하는 AI 활용 역량을 갖추는 것을 목표로 함</t>
  </si>
  <si>
    <t>의료기기 산업의 AI 전환(AX) 환경을 이해하고, LLM 기반 생성형 AI 도구를 활용한 실습을 통해 의료기기 품질문서 작성, 규제 대응 자료 검토, CAPA 분석 등 실무 문제 해결 능력을 갖추어 업무의 정확성과 효율성을 높입니다.</t>
  </si>
  <si>
    <t>* 생성형 AI(LLM)의 구조, 학습 방식, 토큰 처리 등 핵심 작동 원리 설명
* 의료기기 산업(GMP, 인허가, 임상)에서의 AI 적용 가능 영역과 한계 이해
* 프롬프트 엔지니어링의 3요소(역할·맥락·출력형식)와 의료기기 직무별 적용 방법 습득
* 의료 데이터 비식별화, 저작권, AI 윤리 및 사내 보안 가이드라인 기초 역량 확보</t>
  </si>
  <si>
    <t>[LLM 구조 및 의료 산업 특화 작동 원리 이해]
- AI 패러다임 변화와 의료기기 산업에의 영향
- 생성형 AI 모델(GPT, Claude) 구조 및 작동 원리
- 의료·바이오 분야 AI 적용 사례와 한계
- ChatGPT, Claude 기초 툴 실습</t>
  </si>
  <si>
    <t>[업무 전환을 위한 프롬프트 기본 구조 실습]
- 프롬프트 3요소(역할·맥락·출력형식) 이해
- 의료기기 품질문서 맥락 부여 및 컨텍스트 설정
- 페르소나 및 출력 제어 기법(QMS 문서, CAPA 보고서 등)
- 의료기기 직무별(품질관리, RA, R&amp;D) 프롬프트 적용 실습</t>
  </si>
  <si>
    <t>[민감정보 처리, 저작권, 윤리 가이드라인]
- 의료 AI 윤리 개요 및 규제 프레임워크(MFDS, FDA)
- 의료 데이터 개인정보 비식별화 기법과 실습
- AI 생성물의 저작권 이슈 및 의료기기 문서 활용 시 유의사항
- 사내 AI 보안 가이드라인 수립 기초</t>
  </si>
  <si>
    <t>강의: 슬라이드 및 영상 자료를 활용하여 LLM 구조, 의료기기 규제 환경 등 이론적 내용을 시각적으로 전달하고, 의료기기 산업 실제 AI 적용 사례 중심으로 설명
실습: ChatGPT, Claude를 활용한 의료기기 품질문서 초안 작성, CAPA 보고서 프롬프트 설계, 비식별화 도구 체험 등 직무 밀착형 실습 수행
토론: 의료기기 기업의 AI 도입 시 규제·윤리·보안 이슈에 대한 사례 기반 그룹 토론을 통해 실무 적용 판단력 배양
Q&amp;A: 각 모듈별 실시간 질의응답을 통해 이해도 점검 및 즉각 피드백 제공</t>
  </si>
  <si>
    <t>모듈별 Q&amp;A 세션을 통해 핵심 개념 이해도 확인
프롬프트 설계 실습 결과물(의료기기 품질문서 초안, CAPA 보고서 등) 발표 및 동료·강사 피드백
의료 데이터 비식별화 실습 과제 수행 결과 평가</t>
  </si>
  <si>
    <t>AI 활용 문서 작성 및 데이터 분석 기초</t>
    <phoneticPr fontId="2" type="noConversion"/>
  </si>
  <si>
    <t>의료기기 개발·제조 기업 종사자 중 품질관리(QMS), 인허가(RA), 생산관리, R&amp;D, 임상 등 부서에서 AI를 활용한 문서 작성 및 데이터 분석 역량이 필요한 실무자 및 관리자</t>
  </si>
  <si>
    <t>4차 산업혁명 핵심 기술인 생성형 AI를 의료기기 품질관리·인허가·생산 등 실무 문서 작성 및 데이터 분석에 직접 적용하는 신기술 융복합 과정임. 의료기기 GMP(QMS), IEC 62304, FDA/MFDS 규제 환경에서 요구되는 절차서·보고서·품질문서를 AI 도구로 효율적으로 작성하고, 비정형 데이터를 정형화·시각화하여 의사결정을 지원하는 미래전략산업 직종 대응 과정임</t>
  </si>
  <si>
    <t>본 과정은 의료기기 산업 종사자를 대상으로 Claude, ChatGPT, Gemini, NotebookLM 등 생성형 AI 도구를 활용하여 문헌 요약, 절차서·보고서 초안 작성, 비즈니스 글쓰기 제어 등 문서 작성 실무를 학습함. 또한 AI 생성물의 환각(Hallucination) 원인 분석, 출처·수치 교차 검증 프롬프트 설계, 팩트체크 루틴 체크리스트 수립 등 검증 역량을 배양하며, 비정형 데이터를 정형화하고 Excel, Google Spreadsheet, Tableau 등을 활용한 시각화 및 인사이트 도출·리포팅 실습을 수행함</t>
  </si>
  <si>
    <t>본 과정은 의료기기 품질시스템 자원관리(NCS 세분류 1903090102)를 기반으로 하되, 기존 NCS 능력단위에 생성형 AI를 활용한 문서 작성·팩트체크·데이터 분석 역량이 미반영되어 있어, 의료기기 산업 현장의 AI 기반 문서 자동화 및 데이터 분석 수요와 규제 환경(MFDS, FDA, IEC 62304)에 맞춘 교육 내용을 별도 설계하여 NCS 비적용으로 운영함</t>
  </si>
  <si>
    <t>의료기기 개발·제조 실무자가 생성형 AI 도구를 활용하여 품질문서·절차서·보고서를 효율적으로 작성하고, AI 생성물의 정확성을 팩트체크 기법으로 검증하며, 비정형 데이터를 정형화·시각화하여 데이터 기반 의사결정 역량을 갖추는 것을 목표로 함</t>
  </si>
  <si>
    <t>의료기기 산업의 문서 작성 및 데이터 분석 업무에 생성형 AI 도구를 체계적으로 활용하는 실습을 통해, 품질문서·절차서 초안 작성 속도와 정확성을 높이고, AI 생성 결과물의 팩트체크 역량을 확보하며, 비정형 데이터의 정형화·시각화를 통한 인사이트 도출 능력을 갖추어 업무의 효율성과 신뢰성을 높입니다.</t>
  </si>
  <si>
    <t>* 생성형 AI(Claude, ChatGPT, Gemini, NotebookLM)를 활용한 대용량 문헌 요약 및 템플릿 기반 보고서 초안 작성 역량 습득
* AI 생성물의 환각(Hallucination) 원인 분석 및 출처·수치 교차 검증 프롬프트 설계 능력 확보
* 비정형 데이터를 정형화하고 Excel, Google Spreadsheet, Tableau를 활용한 시각화 및 리포팅 실습
* 의료기기 품질문서(QMS, DHF, CAPA) 맥락에서의 AI 활용 실무 적용 사례를 통해 이해 증진</t>
  </si>
  <si>
    <t>[문헌, 절차서 요약 및 보고서 기초 실무]
- 대용량 의료기기 규격·문헌 정보 압축 및 핵심 추출
- 의료기기 절차서·품질문서 템플릿 기반 초안 생성
- 비즈니스 글쓰기 톤·형식 제어 및 결과물 리뷰·보완</t>
  </si>
  <si>
    <t>[출처 및 수치 근거를 점검하는 팩트체크 기법]
- AI 환각(Hallucination) 원인 분석 및 발생 패턴 이해
- 의료기기 규제 문서의 출처·수치 교차 검증 프롬프트 설계
- 팩트체크 검증 루틴 체크리스트 작성 및 적용 실습</t>
  </si>
  <si>
    <t>[비정형 데이터 정형화 및 AI 분석 실습]
- 의료기기 품질·생산·임상 비정형 데이터 분석 기획
- 데이터 정제 프롬프트 설계 및 정형화 실습
- Excel, Google Spreadsheet, Tableau를 활용한 시각화 및 인사이트 도출·리포팅</t>
  </si>
  <si>
    <t>강의: 슬라이드 및 영상 자료를 활용하여 AI 문서 작성 원리, 팩트체크 기법, 데이터 분석 방법론을 의료기기 산업 실제 사례 중심으로 설명
실습: Claude, ChatGPT, Gemini, NotebookLM을 활용한 의료기기 절차서·보고서 초안 작성, 팩트체크 프롬프트 설계, Excel·Tableau 기반 데이터 시각화 등 직무 밀착형 실습 수행
토론: 의료기기 문서 AI 자동화 시 규제 적합성, 데이터 신뢰성 등 실무 이슈에 대한 사례 기반 그룹 토론
Q&amp;A: 각 모듈별 실시간 질의응답을 통해 이해도 점검 및 즉각 피드백 제공</t>
  </si>
  <si>
    <t>모듈별 Q&amp;A 세션을 통해 핵심 개념 이해도 확인
AI 활용 문서 작성 실습 결과물(절차서 초안, 보고서 등) 발표 및 동료·강사 피드백
팩트체크 체크리스트 작성 과제 및 데이터 시각화 결과물 평가</t>
  </si>
  <si>
    <t>AI 워크플로우의 이해 및 실습</t>
    <phoneticPr fontId="2" type="noConversion"/>
  </si>
  <si>
    <t>의료기기 개발·제조 기업 종사자 중 품질관리(QMS), 인허가(RA), 생산관리, R&amp;D, 임상 등 부서에서 반복 업무의 AI 자동화 및 워크플로우 설계·구현 역량이 필요한 실무자 및 관리자</t>
  </si>
  <si>
    <t>4차 산업혁명 핵심 기술인 AI 워크플로우 자동화를 의료기기 품질관리·인허가·생산 등 실무 프로세스에 직접 적용하는 신기술 융복합 과정임. 의료기기 GMP(QMS), IEC 62304, FDA/MFDS 규제 환경에서 요구되는 반복 업무(문서 검토, 일탈 관리, CAPA 추적 등)를 AI 워크플로우 도구(n8n, Google AI Studio 등)로 자동화하고, 업무별 최적 AI 모델을 선정·배치하여 프로세스 효율성을 혁신하는 미래전략산업 직종 대응 과정임</t>
  </si>
  <si>
    <t>본 과정은 의료기기 산업 종사자를 대상으로 직무 워크플로우를 체계적으로 분해하여 AI 개입이 가능한 병목 구간을 식별하고, 주요 AI 모델(GPT, Claude, Gemini 등)의 장단점을 비교하여 업무별 최적 도구를 매칭하는 역량을 배양함. 또한 n8n, Google AI Studio 등 노코드·로우코드 기반 AI 워크플로우 자동화 도구를 활용하여 의료기기 품질관리·인허가·생산 업무의 반복 프로세스를 자동화하는 실습 중심 교육을 실시함</t>
  </si>
  <si>
    <t>본 과정은 의료기기 품질시스템 자원관리(NCS 세분류 1903090102)를 기반으로 하되, 기존 NCS 능력단위에 AI 워크플로우 설계·구현, 업무 자동화 도구 활용, AI 모델 선정·배치 등의 역량이 미반영되어 있어, 의료기기 산업 현장의 업무 프로세스 자동화 수요와 규제 환경(MFDS, FDA, IEC 62304)에 맞춘 AI 워크플로우 교육 내용을 별도 설계하여 NCS 비적용으로 운영함</t>
  </si>
  <si>
    <t>의료기기 개발·제조 실무자가 직무 워크플로우를 분해하여 AI 자동화 가능 지점을 발굴하고, 업무 특성에 맞는 AI 모델과 도구를 선정·매칭하며, n8n·Google AI Studio 등을 활용하여 의료기기 업무 프로세스를 자동화하는 워크플로우를 직접 설계·구현할 수 있는 역량을 갖추는 것을 목표로 함</t>
  </si>
  <si>
    <t>의료기기 산업의 업무 프로세스를 체계적으로 분석하고, AI 워크플로우 자동화 도구를 활용한 실습을 통해 품질관리·인허가·생산 업무의 반복 프로세스를 자동화하는 실무 문제 해결 능력을 갖추어 업무의 효율성과 정확성을 높입니다.</t>
  </si>
  <si>
    <t>* 직무 워크플로우 분해 기법을 활용하여 의료기기 업무의 병목 구간 식별 및 AI 개입 지점 매핑 역량 습득
* 주요 AI 모델(GPT, Claude, Gemini 등)의 특성 비교 및 의료기기 업무별 최적 도구 선정·배치 기준 이해
* n8n, Google AI Studio 등 노코드·로우코드 AI 워크플로우 도구를 활용한 업무 자동화 구현 실습
* 의료기기 규제 환경(GMP, MFDS, FDA)을 고려한 보안 환경별 도구 선택 및 멀티모달 기초 활용 사례를 통해 이해 증진</t>
  </si>
  <si>
    <t>[업무 분해를 통한 AI 개입 지점 발굴]
- 의료기기 직무 워크플로우(품질관리, RA, 생산 등) 분해 기법
- 업무 병목 구간 식별 및 AI 역할 재정의
- AI 개입 지점 매핑 및 결과 공유·토론</t>
  </si>
  <si>
    <t>[주요 모델별 장단점 비교 및 업무별 툴 매칭]
- GPT, Claude, Gemini 등 주요 AI 모델 특성 비교 분석
- 의료기기 업무 특성에 맞는 적재적소 도구 배치 전략
- GMP·규제 환경별 보안 기준에 따른 도구 선택 및 멀티모달 기초 활용</t>
  </si>
  <si>
    <t>[AI워크플로우 구현 실습]
- n8n 기반 의료기기 업무 AI 워크플로우 설계 및 구현 실습
- Google AI Studio를 활용한 AI 업무 자동화 파이프라인 구현 실습
- 의료기기 실무 시나리오(CAPA 추적, 일탈 관리, 문서 검토 자동화 등) 적용</t>
  </si>
  <si>
    <t>강의: 슬라이드 및 영상 자료를 활용하여 AI 워크플로우 설계 원리, 모델별 특성 비교, 보안 환경별 도구 선택 기준 등을 의료기기 산업 실제 사례 중심으로 설명
실습: n8n, Google AI Studio를 활용한 의료기기 업무 워크플로우 자동화 구현, 직무별 AI 개입 지점 매핑, 모델·도구 매칭 등 직무 밀착형 실습 수행
토론: 의료기기 업무 프로세스 자동화 시 규제 적합성, 보안, 실무 적용 이슈에 대한 사례 기반 그룹 토론
Q&amp;A: 각 모듈별 실시간 질의응답을 통해 이해도 점검 및 즉각 피드백 제공</t>
  </si>
  <si>
    <t>모듈별 Q&amp;A 세션을 통해 핵심 개념 이해도 확인
AI 워크플로우 구현 실습 결과물(n8n 워크플로우, Google AI Studio 자동화 파이프라인) 발표 및 동료·강사 피드백
직무 워크플로우 분해 및 AI 개입 지점 매핑 과제 수행 결과 평가</t>
  </si>
  <si>
    <t>커리큘럼 기초 내용</t>
    <phoneticPr fontId="2" type="noConversion"/>
  </si>
  <si>
    <t>교육과정 세부 정보</t>
    <phoneticPr fontId="2" type="noConversion"/>
  </si>
  <si>
    <t>QA/QMS AX 문서 자동화 및 품질 AI 워크플로 설계</t>
    <phoneticPr fontId="2" type="noConversion"/>
  </si>
  <si>
    <t>의료기기 개발·제조 기업의 품질보증(QA) 및 품질관리(QC) 부서 종사자로, ISO 13485 기반 QMS 체계 내 반복 문서(SOP, CAPA, 내부감사 보고서 등) 작성·관리 업무를 수행하며, AI 기반 문서 자동화 및 품질 워크플로 설계 역량이 필요한 실무자 및 관리자</t>
  </si>
  <si>
    <t>품질보증(QA)담당자, 품질관리(QC)담당자, QMS 문서관리자, 내부감사원</t>
  </si>
  <si>
    <t>4차 산업혁명 핵심 기술인 생성형 AI를 의료기기 QA/QMS 직무에 특화하여 적용하는 신기술 융복합 과정임. ISO 13485 품질경영시스템 체계 내 반복 문서(SOP, CAPA, 내부감사 체크리스트 등)를 GPT/Claude 기반으로 구조화·자동 생성하고, 문서 작성 → 검증 → 이력관리까지의 전체 품질 프로세스를 n8n 노코드 자동화 및 엑셀/구글시트 기반 품질 로그 분석과 결합하여 하나의 품질 AI 워크플로로 구축하는 미래전략산업 직종 대응 과정임</t>
  </si>
  <si>
    <t>본 과정은 ISO 13485 및 QMS 체계 내 반복 문서(SOP, CAPA, 내부감사)를 AI 기반으로 구조화하고, 문서 작성 → 검증 → 이력관리까지 하나의 품질 AI 워크플로로 구축하는 실습 중심 교육을 실시함. QMS 반복문서 구조 분석, ISO 요구사항 자동 매핑 구조 설계, CAPA 보고서 AI 논리 구조화, 내부감사 체크리스트 자동 생성, 문서 검증 체크리스트 자동화, QA 워크플로 자동화 설계 등 6개 모듈을 통해 GPT/Claude 기반 문서 생성, Office for Claude &amp; Claude Cowork 기반 문서 작성, 내부 템플릿 프롬프트 설계, n8n 노코드 자동화, 엑셀/구글시트 기반 품질 로그 자동 분석 역량을 배양함</t>
  </si>
  <si>
    <t>본 과정은 의료기기 품질시스템 자원관리(NCS 세분류 1903090102)를 기반으로 하되, 기존 NCS 능력단위에 AI 기반 QMS 문서 자동화, 품질 AI 워크플로 설계·구현, ISO 요구사항 자동 매핑, n8n 노코드 자동화 등의 역량이 미반영되어 있어, 의료기기 QA/QMS 현장의 AI 전환(AX) 수요와 규제 환경(ISO 13485, MFDS, FDA)에 맞춘 교육 내용을 별도 설계하여 NCS 비적용으로 운영함</t>
  </si>
  <si>
    <t>의료기기 QA/QMS 실무자가 ISO 13485 체계 내 반복 문서(SOP, CAPA, 내부감사 보고서 등)를 생성형 AI 도구로 구조화·자동 생성하고, 문서 검증 체크리스트를 자동화하며, 문서 작성부터 검증·이력관리까지 하나의 품질 AI 워크플로를 n8n 기반으로 설계·구축할 수 있는 역량을 갖추는 것을 목표로 함</t>
  </si>
  <si>
    <t>ISO 13485 QMS 체계를 기반으로 AI 도구를 체계적으로 활용하는 실습을 통해, QMS 반복 문서의 구조화·자동 생성 역량을 키우고, 문서 검증 및 감사 대응 체크리스트를 자동화하며, 품질 프로세스 전반을 AI 워크플로로 통합·설계하여 QA 업무의 정확성·효율성·추적성을 높입니다.</t>
  </si>
  <si>
    <t>* ISO 13485 QMS 체계 내 반복 문서(SOP, CAPA, 내부감사 보고서) 구조 분석 및 AI 적용 지점 도출 역량 습득
* GPT/Claude 및 Office for Claude를 활용한 ISO 요구사항 자동 매핑 및 CAPA 보고서 AI 논리 구조화 기법 이해
* 내부감사 체크리스트·문서 검증 체크리스트의 AI 자동 생성 및 품질 로그 자동 분석 실습
* n8n 노코드 자동화 도구를 활용한 QA 워크플로(문서 작성 → 검증 → 이력관리) 설계·구축 사례를 통해 이해 증진</t>
  </si>
  <si>
    <t>[QMS 반복문서 구조 분석 및 ISO 요구사항 자동 매핑]
- ISO 13485 기반 QMS 반복 문서(SOP, CAPA, 내부감사) 구조 분석
- ISO 요구사항과 문서 항목 간 자동 매핑 구조 설계
- GPT/Claude를 활용한 문서 템플릿 프롬프트 설계 실습</t>
  </si>
  <si>
    <t>[CAPA 보고서 AI 구조화 및 문서 검증 자동화]
- CAPA 보고서 AI 논리 구조화 및 자동 초안 생성
- 내부감사 체크리스트 AI 자동 생성 실습
- 문서 검증 체크리스트 자동화 및 품질 로그 분석</t>
  </si>
  <si>
    <t>[QA 워크플로 자동화 설계 및 산출물 완성]
- n8n 기반 QA 워크플로 자동화 설계(문서 작성 → 검증 → 이력관리)
- 엑셀/구글시트 기반 품질 로그 자동 분석 파이프라인 구현
- 산출물 완성: SOP 자동 작성 템플릿, CAPA 워크플로, 감사 대응 체크리스트, QA 플레이북</t>
  </si>
  <si>
    <t>강의: 슬라이드 및 영상 자료를 활용하여 ISO 13485 QMS 문서 체계, AI 문서 자동화 원리, n8n 워크플로 설계 방법론을 의료기기 QA 실제 사례 중심으로 설명
실습: GPT/Claude 기반 SOP·CAPA 보고서 자동 생성, Office for Claude를 활용한 문서 작성, 내부감사 체크리스트 자동화, n8n 기반 QA 워크플로 구축 등 직무 밀착형 실습 수행
토론: 의료기기 QA 업무의 AI 자동화 시 ISO 적합성, 문서 무결성, 감사 대응 전략 등 실무 이슈에 대한 사례 기반 그룹 토론
Q&amp;A: 각 모듈별 실시간 질의응답을 통해 이해도 점검 및 즉각 피드백 제공</t>
  </si>
  <si>
    <t>모듈별 Q&amp;A 세션을 통해 핵심 개념 이해도 확인
AI 기반 QMS 문서 자동화 실습 결과물(SOP 템플릿, CAPA 보고서, 감사 체크리스트, QA 플레이북) 발표 및 동료·강사 피드백
n8n QA 워크플로 자동화 설계 과제 수행 결과 평가</t>
  </si>
  <si>
    <t>의료기기 제조공정 문서 AI 자동화 및 공정 데이터 분석</t>
  </si>
  <si>
    <t>의료기기 개발·제조 기업의 제조부문(생산관리, 공정관리, 제조품질) 종사자로, DMR/DHR, 제조기록서, 공정 밸리데이션 문서 등 제조공정 문서 작성·관리 업무를 수행하며, AI 기반 문서 자동화 및 공정 데이터 분석 역량이 필요한 실무자 및 관리자</t>
  </si>
  <si>
    <t>생산관리자, 공정관리자, 제조품질담당자, 설비관리자</t>
  </si>
  <si>
    <t>4차 산업혁명 핵심 기술인 생성형 AI를 의료기기 제조공정 직무에 특화하여 적용하는 신기술 융복합 과정임. 의료기기 GMP 제조관리 기준(KGMP, FDA 21 CFR Part 820) 체계 내 반복 문서(DMR, DHR, 제조기록서, 공정 밸리데이션 문서)를 GPT/Claude 기반으로 자동 생성·검증하고, 제조공정 데이터(수율, 일탈, 설비 가동률 등)를 AI로 분석하여 공정 개선 인사이트를 도출하는 미래전략산업 직종 대응 과정임</t>
  </si>
  <si>
    <t>본 과정은 의료기기 제조부문 종사자를 대상으로 DMR/DHR 문서 구조를 분석하고 AI로 자동 생성하는 역량을 배양하며, 제조기록서·밸리데이션 문서를 GPT/Claude로 자동 초안 생성하는 실습을 수행함. 또한 제조공정 데이터(수율, 일탈, 설비 가동률)를 엑셀/구글시트 기반 AI 분석으로 시각화하고, 공정 이상 감지 및 예측 모델 기초를 이해하며, n8n 기반 제조공정 AI 워크플로를 설계하여 공정 개선 인사이트 리포팅 및 산출물을 완성하는 실습 중심 교육을 실시함</t>
  </si>
  <si>
    <t>본 과정은 의료기기 품질시스템 자원관리(NCS 세분류 1903090102)를 기반으로 하되, 기존 NCS 능력단위에 AI 기반 제조공정 문서 자동화, 공정 데이터 AI 분석, 이상 감지·예측 모델 활용, n8n 제조공정 워크플로 설계 등의 역량이 미반영되어 있어, 의료기기 제조부문의 AI 전환(AX) 수요와 규제 환경(KGMP, FDA 21 CFR Part 820)에 맞춘 교육 내용을 별도 설계하여 NCS 비적용으로 운영함</t>
  </si>
  <si>
    <t>의료기기 제조부문 실무자가 제조공정 반복 문서(DMR, DHR, 제조기록서, 밸리데이션 문서)를 생성형 AI 도구로 자동 생성·검증하고, 제조공정 데이터를 AI로 분석하여 공정 이상 감지 및 개선 인사이트를 도출하며, n8n 기반 제조공정 AI 워크플로를 설계·구축할 수 있는 역럅을 갖추는 것을 목표로 함</t>
  </si>
  <si>
    <t>의료기기 제조공정의 문서 관리 및 데이터 분석 업무에 AI 도구를 체계적으로 활용하는 실습을 통해, 제조공정 문서 자동화 역럅을 키우고, 공정 데이터 기반 이상 감지·예측 및 개선 인사이트 도출 능력을 갖추어 제조 현장의 품질·생산성·추적성을 높입니다.</t>
  </si>
  <si>
    <t>* 의료기기 GMP 체계 내 DMR/DHR 문서 구조 분석 및 AI 자동 생성 적용 지점 도출 역량 습득
* GPT/Claude 및 Office for Claude를 활용한 제조기록서·밸리데이션 문서 자동 초안 생성 기법 이해
* 제조공정 데이터(수율, 일탈, 설비 가동률)의 AI 분석·시각화 및 공정 이상 감지·예측 모델 기초 이해
* n8n 기반 제조공정 AI 워크플로 설계·구축 및 공정 개선 인사이트 리포팅 사례를 통해 이해 증진</t>
  </si>
  <si>
    <t>[DMR/DHR 문서 구조 분석 및 AI 제조문서 자동 생성]
- 의료기기 GMP(KGMP, FDA 21 CFR Part 820) 기반 DMR/DHR 문서 구조 분석
- 제조기록서·밸리데이션 문서 AI 자동 초안 생성 실습
- GPT/Claude 및 Office for Claude 활용 템플릿 프롬프트 설계</t>
  </si>
  <si>
    <t>[제조공정 데이터 AI 분석 및 이상 감지·예측]
- 제조공정 데이터(수율, 일탈, 설비 가동률) AI 분석 및 시각화 실습
- 공정 이상 감지 및 예측 모델 기초 이해(SPC·트렌드 분석)
- 엑셀/구글시트 기반 공정 데이터 대시보드 구성 실습</t>
  </si>
  <si>
    <t>[제조공정 AI 워크플로 설계 및 산출물 완성]
- n8n 기반 제조공정 AI 워크플로 자동화 설계(문서 생성 → 검증 → 공정데이터 분석)
- 공정 개선 인사이트 리포팅 실습
- 산출물 완성: DMR/DHR 자동 작성 템플릿, 제조기록서 AI 워크플로, 공정 데이터 대시보드, 제조공정 AI 플레이북</t>
  </si>
  <si>
    <t>강의: 슬라이드 및 영상 자료를 활용하여 의료기기 GMP 제조문서 체계, AI 문서 자동화 원리, 공정 데이터 분석 방법론을 제조 현장 실제 사례 중심으로 설명
실습: GPT/Claude 기반 DMR/DHR·제조기록서 자동 생성, 엑셀/구글시트 기반 공정 데이터 시각화, n8n 기반 제조공정 워크플로 구축 등 직무 밀착형 실습 수행
토론: 의료기기 제조공정 AI 자동화 시 GMP 적합성, 데이터 무결성, 공정 변경관리 등 실무 이슈에 대한 사례 기반 그룹 토론
Q&amp;A: 각 모듈별 실시간 질의응답을 통해 이해도 점검 및 즉각 피드백 제공</t>
  </si>
  <si>
    <t>모듈별 Q&amp;A 세션을 통해 핵심 개념 이해도 확인
AI 기반 제조공정 문서 자동화 실습 결과물(DMR/DHR 템플릿, 제조기록서 워크플로, 공정 대시보드, AI 플레이북) 발표 및 동료·강사 피드백
공정 데이터 분석 및 인사이트 리포팅 과제 수행 결과 평가</t>
  </si>
  <si>
    <t>의료기기 개발(품질,임상,공정) 데이터 기반 의사결정 워크플로 및 대시보드 설계</t>
    <phoneticPr fontId="2" type="noConversion"/>
  </si>
  <si>
    <t>의료기기 개발·제조 기업의 품질(QA), 임상(Clinical), 제조공정(Process) 부서 종사자 중 부서별 분산 데이터를 통합·분석하여 KPI 기반 의사결정 체계를 구축하고, Python/Streamlit 기반 대시보드 및 자동 리포트 시스템 설계 역량이 필요한 실무자 및 관리자</t>
  </si>
  <si>
    <t>품질보증(QA)담당자, 임상담당자, 생산관리자, 공정관리자, 데이터분석 담당자</t>
  </si>
  <si>
    <t>4차 산업혁명 핵심 기술인 AI·데이터 분석을 의료기기 품질·임상·공정 전 영역에 걸쳐 통합 적용하는 신기술 융복합 과정임. 기존 부서별 엑셀 개별 관리·수동 집계·복붙 보고서 방식(As-Is)에서 데이터 수집 → 자동 정제 → KPI 자동 계산 → 시각화 대시보드 → AI 자동 분석 코멘트 → 보고서 자동 생성(To-Be)으로의 AX 전환을 실현하는 미래전략산업 직종 대응 과정임. Python/바이브코딩, Pandas, Streamlit, GPT 기반 분석 등 실무 도구를 활용하여 의료기기 GMP(QMS), 임상시험, 제조공정 규제 환경에 적합한 데이터 기반 의사결정 체계를 구축함</t>
  </si>
  <si>
    <t>본 과정은 의료기기 산업의 품질(QA)·임상(Clinical)·제조공정(Process) 데이터를 통합하여 의사결정이 자동으로 생성되는 AI 워크플로를 구축하는 2일 과정임. Day 1에서는 의료기기 데이터 유형을 분석하고, Pandas 기반 데이터 정제, KPI 수식 설계, 자동 분석 코드 생성(바이브코딩) 실습을 수행함. Day 2에서는 Streamlit 기반 내부 KPI 대시보드를 제작하고, KPI 시각화 구성, GPT 기반 자동 해석 코멘트 생성, 내부 분석 워크플로 완성 및 자동 리포트 생성 프로그램을 구축함</t>
  </si>
  <si>
    <t>본 과정은 의료기기 품질시스템 자원관리(NCS 세분류 1903090102)를 기반으로 하되, 기존 NCS 능력단위에 Python/바이브코딩 기반 데이터 분석, Streamlit 대시보드 설계, GPT 기반 자동 분석·리포팅, 품질·임상·공정 데이터 통합 KPI 체계 구축, AI 기반 의사결정 워크플로 자동화 등의 역량이 미반영되어 있어, 의료기기 산업 현장의 데이터 기반 의사결정(AX) 수요와 규제 환경(ISO 13485, MFDS, FDA)에 맞춘 교육 내용을 별도 설계하여 NCS 비적용으로 운영함</t>
  </si>
  <si>
    <t>의료기기 개발·제조 실무자가 품질·임상·공정 부서별 분산 데이터를 통합·정제하고, KPI를 체계적으로 설계하여 Streamlit 기반 의사결정 대시보드를 직접 구축하며, GPT를 활용한 자동 분석 코멘트 및 리포트 생성 워크플로를 완성하여 데이터 기반 의사결정 역량을 갖추는 것을 목표로 함</t>
  </si>
  <si>
    <t>의료기기 산업의 품질·임상·공정 데이터를 Python/Pandas로 정제·분석하고, Streamlit 기반 KPI 대시보드를 직접 구축하는 실습을 통해, 기존 수동 집계·개인 역량 의존 방식에서 AI 자동 분석·리포팅 체계로의 전환 역량을 갖추어 데이터 기반 의사결정의 정확성·신속성·일관성을 높입니다.</t>
  </si>
  <si>
    <t>* 의료기기 품질·임상·공정 데이터 유형 분석 및 Pandas 기반 데이터 정제·구조화 역량 습득
* KPI 수식 설계(수율, 일탈률, CAPA 완료율, 임상 등록률 등) 및 자동 분석 코드 생성(바이브코딩) 기법 이해
* Streamlit 기반 내부 KPI 대시보드 설계·제작 및 시각화 구성 실습
* GPT 기반 자동 해석 코멘트 생성 및 내부 분석 워크플로 완성·자동 리포트 프로그램 구축 사례를 통해 이해 증진</t>
  </si>
  <si>
    <t>[Day 1 – 데이터 구조화 및 KPI 설계]
- 의료기기 품질·임상·공정 데이터 유형 분석 및 현황 진단
- Pandas 기반 데이터 정제·정렬·구조화 실습
- KPI 수식 설계(수율, 일탈률, CAPA 완료율, 임상 등록률 등)
- 바이브코딩을 활용한 자동 분석 코드 생성 실습</t>
  </si>
  <si>
    <t>[Day 2-① – 대시보드 제작 및 시각화]
- Streamlit 기반 내부 KPI 대시보드 앱 제작 실습
- 품질·임상·공정 KPI 시각화 구성(차트, 테이블, 필터)
- 부서별 데이터 통합 뷰 설계 및 인터랙티브 기능 구현</t>
  </si>
  <si>
    <t>[Day 2-② – AI 자동 해석 및 워크플로 완성]
- GPT 기반 KPI 자동 해석 코멘트 생성 실습
- 내부 분석 워크플로 완성(데이터 수집 → 정제 → KPI → 시각화 → AI 코멘트 → 리포트)
- 자동 리포트 생성 프로그램 구축
- 산출물 완성: KPI 대시보드, Python 코드, 자동 리포트, KPI 정의 문서, 의사결정 프레임워크</t>
  </si>
  <si>
    <t>강의: 슬라이드 및 영상 자료를 활용하여 의료기기 데이터 유형, KPI 설계 방법론, Streamlit 아키텍처, GPT 연동 원리 등을 품질·임상·공정 실제 사례 중심으로 설명
실습: Python/Pandas 기반 데이터 정제, KPI 자동 분석 코드 생성(바이브코딩), Streamlit 대시보드 제작, GPT 자동 해석 연동 등 직무 밀착형 실습 수행
토론: 의료기기 데이터 통합 시 부서 간 데이터 표준화, KPI 정의 합의, 규제 적합성 등 실무 이슈에 대한 사례 기반 그룹 토론
Q&amp;A: 각 모듈별 실시간 질의응답을 통해 이해도 점검 및 즉각 피드백 제공</t>
  </si>
  <si>
    <t>모듈별 Q&amp;A 세션을 통해 핵심 개념 이해도 확인
Day 1 실습 결과물(데이터 정제 코드, KPI 수식 설계서) 중간 점검 및 피드백
Day 2 최종 산출물 5종(KPI 대시보드, Python 코드, 자동 리포트, KPI 정의 문서, 의사결정 프레임워크) 발표 및 동료·강사 피드백
전체 워크플로 완성도 및 실무 적용 가능성 종합 평가</t>
  </si>
  <si>
    <t>R&amp;D 요구사항·설계 자동화 및 Traceability 구축</t>
    <phoneticPr fontId="2" type="noConversion"/>
  </si>
  <si>
    <t>의료기기 개발·제조 기업의 R&amp;D(연구개발) 부서 종사자로, 의료기기 설계관리(Design Controls) 프로세스에서 URS/SRS 도출, 테스트 케이스 작성, 변경 영향 분석(ECO), Traceability 매트릭스 관리 등 설계문서 작성·추적 업무를 수행하며, AI 기반 설계관리 자동화 및 추적성 구축 역량이 필요한 실무자 및 관리자</t>
  </si>
  <si>
    <t>R&amp;D 설계엔지니어, 시스템엔지니어, V&amp;V(검증·밸리데이션)담당자, 설계변경관리자</t>
  </si>
  <si>
    <t>4차 산업혁명 핵심 기술인 생성형 AI를 의료기기 R&amp;D 설계관리(Design Controls) 직무에 특화하여 적용하는 신기술 융복합 과정임. 기존 수기 URS 정리→수동 SRS 작성→개별 TC 작성→수기 영향분석→수동 추적 매트릭스(As-Is)에서, AI 요구사항 구조화→자동 SRS 생성→테스트 케이스 자동 생성→Traceability 자동 연결→변경 영향 자동 분석(To-Be)으로의 AX 전환을 실현하는 과정임. IEC 62304(의료기기 소프트웨어), ISO 14971(리스크 관리), FDA Design Controls 규제 환경에 적합한 AI 기반 설계관리 프로세스를 구축하는 미래전략산업 직종 대응 과정임</t>
  </si>
  <si>
    <t>본 과정은 의료기기 R&amp;D 종사자를 대상으로 설계관리(Design Controls) 전체 프로세스를 AI 기반 워크플로로 재구성하는 실습 중심 교육을 실시함. 설계 프로세스를 분석하여 AI 자동화 적용 지점을 도출하고, ChatGPT/Claude를 활용하여 URS에서 SRS를 자동 도출하며, Python Script 기반 테스트 케이스(TC) 자동 생성 및 CSV/Excel 출력 실습을 수행함. 또한 ECO(Engineering Change Order) 발생 시 변경 영향 분석을 AI로 자동화하고, 요구사항–설계–테스트–리스크 간 Traceability 매트릭스를 자동 구축하며, n8n/Google AI Studio를 활용하여 설계관리 AI 워크플로를 완성하는 교육을 실시함</t>
  </si>
  <si>
    <t>본 과정은 의료기기 품질시스템 자원관리(NCS 세분류 1903090102)를 기반으로 하되, 기존 NCS 능력단위에 AI 기반 URS/SRS 자동 도출, 테스트 케이스 자동 생성, 변경 영향 분석(ECO) AI 자동화, Traceability 매트릭스 자동 구축, n8n/Google AI Studio 설계관리 워크플로 설계 등의 역량이 미반영되어 있어, 의료기기 R&amp;D 현장의 설계관리 AI 전환(AX) 수요와 규제 환경(IEC 62304, ISO 14971, FDA Design Controls)에 맞춘 교육 내용을 별도 설계하여 NCS 비적용으로 운영함</t>
  </si>
  <si>
    <t>의료기기 R&amp;D 실무자가 설계관리(Design Controls) 전체 프로세스를 AI 기반으로 자동화하여, URS/SRS 자동 도출, 테스트 케이스 자동 생성, ECO 변경 영향 자동 분석, Traceability 매트릭스 자동 구축 역량을 갖추고, 설계문서의 누락 위험 제거·논리 일관성 확보·추적성 유지·문서 작성 시간 절감을 실현하는 것을 목표로 함</t>
  </si>
  <si>
    <t>의료기기 설계관리(Design Controls) 프로세스의 As-Is 문제점(누락 위험, 논리 일관성 부족, 추적성 붕괴, 문서 작성 시간 과다)을 AI 기반 자동화로 해결하는 실습을 통해, 요구사항 도출부터 테스트·변경관리·추적성까지의 전체 설계관리 워크플로를 자동화하는 실무 문제 해결 능력을 갖추어 R&amp;D 업무의 정확성·효율성·추적성을 높입니다.</t>
  </si>
  <si>
    <t>* 의료기기 설계관리(Design Controls) 프로세스 구조 분석 및 AI 자동화 적용 지점 도출 역량 습득
* ChatGPT/Claude를 활용한 URS→SRS 자동 도출 및 Confluence 템플릿 기반 요구사항 구조화 기법 이해
* Python Script 기반 테스트 케이스(TC) 자동 생성 및 CSV/Excel 출력, ECO 변경 영향 분석 AI 자동화 실습
* Traceability 매트릭스(요구사항–설계–테스트–리스크) 자동 구축 및 n8n/Google AI Studio 기반 설계관리 AI 워크플로 완성 사례를 통해 이해 증진</t>
  </si>
  <si>
    <t>[설계 프로세스 분석 및 URS/SRS 자동 도출]
- 의료기기 설계관리(Design Controls) 프로세스 구조 분석(IEC 62304, ISO 14971, FDA)
- As-Is 문제점 진단 및 AI 자동화 적용 지점 도출
- ChatGPT/Claude 기반 URS→SRS 자동 도출 및 Confluence 템플릿 연동 실습</t>
  </si>
  <si>
    <t>[테스트 케이스 자동 생성 및 ECO 영향 분석 자동화]
- SRS 기반 테스트 케이스(TC) 자동 생성(Python Script→CSV/Excel 출력)
- ECO(Engineering Change Order) 발생 시 변경 영향 분석 AI 자동화 실습
- 변경–요구사항–테스트 간 영향 범위 자동 산출 기법</t>
  </si>
  <si>
    <t>[Traceability 설계 및 설계 AI 워크플로 완성]
- 요구사항–설계–테스트–리스크 간 Traceability 매트릭스 자동 구축(ChatGPT 활용)
- n8n/Google AI Studio 기반 설계관리 AI 워크플로 설계·구현 실습
- 산출물 완성: 요구사항 자동 도출 템플릿, TC 생성 자동화 시스템, Traceability 자동 매트릭스</t>
  </si>
  <si>
    <t>강의: 슬라이드 및 영상 자료를 활용하여 의료기기 설계관리(Design Controls) 프로세스, IEC 62304/ISO 14971/FDA 규제 요구사항, AI 자동화 원리를 R&amp;D 실제 사례 중심으로 설명
실습: ChatGPT/Claude 기반 URS/SRS 자동 도출, Python Script 기반 TC 자동 생성, ECO 영향 분석 AI 자동화, Traceability 매트릭스 자동 구축, n8n/Google AI Studio 워크플로 설계 등 직무 밀착형 실습 수행
토론: 의료기기 설계관리 AI 자동화 시 규제 적합성, 추적성 무결성, 변경관리 전략 등 실무 이슈에 대한 사례 기반 그룹 토론
Q&amp;A: 각 모듈별 실시간 질의응답을 통해 이해도 점검 및 즉각 피드백 제공</t>
  </si>
  <si>
    <t>모듈별 Q&amp;A 세션을 통해 핵심 개념 이해도 확인
AI 기반 설계관리 자동화 실습 결과물(요구사항 도출 템플릿, TC 자동화 시스템, Traceability 매트릭스) 발표 및 동료·강사 피드백
설계관리 AI 워크플로 완성도 및 규제 적합성(IEC 62304, ISO 14971) 종합 평가</t>
  </si>
  <si>
    <t xml:space="preserve">제조 공정 AI 워크플로 MVP 구축 </t>
    <phoneticPr fontId="2" type="noConversion"/>
  </si>
  <si>
    <t>의료기기 개발·제조 기업의 제조·공정·설비·품질 부서 종사자 중, AFX(기초) 및 ALX(직무 특화) 교육과정을 이수하였거나 이에 준하는 AI 활용 역량을 보유한 자로, 단일 공정 데이터를 기반으로 데이터 자동 분석 → 이상 탐지 → 내부 대시보드 → 자동 알림 → ROI 구조까지 연결되는 '작동하는 AI 워크플로 MVP'를 직접 구축할 역량이 필요한 실무자 및 관리자</t>
  </si>
  <si>
    <t>생산관리자, 공정관리자, 설비관리자, 제조품질담당자, 데이터분석 담당자</t>
  </si>
  <si>
    <t>15명</t>
  </si>
  <si>
    <t>4차 산업혁명 핵심 기술인 AI·데이터 분석·자동화를 의료기기 제조공정에 통합 적용하는 신기술 융복합 PBL(Project Based Learning) 과정임. 기존 AFX(AI 기초)·ALX(직무 특화) 교육에서 습득한 역량을 실제 제조 현장의 공정 데이터에 적용하여 '작동하는 MVP(최소 기능 제품)'를 구축하는 ROI 중심의 프로젝트 실행 과정임. 총 8주(5 Phase) 구성으로, ChatGPT(전환 설계)·Claude Code(코드 구현)·n8n(자동화 연결)의 도구 역할 분리 구조를 기반으로, 의료기기 GMP(KGMP, FDA 21 CFR Part 820) 규제 환경에서 SPC·Cpk 기반 이상 탐지, Isolation Forest 불량 예측, Streamlit 내부 대시보드, 자동 알림·리포트 생성까지의 전체 파이프라인을 구축하는 미래전략산업 직종 대응 과정임</t>
  </si>
  <si>
    <t>본 과정은 의료기기 제조공정 종사자를 대상으로 8주(5 Phase) PBL 방식의 프로젝트 실행 교육을 실시함. Phase 1(1~2주)에서는 ChatGPT를 활용하여 공정 데이터 구조 분석, KPI 정의, 유스케이스 확정, ROI 계산 논리 설계를 수행함. Phase 2(3~4주)에서는 Claude Code를 활용하여 Pandas 기반 데이터 정제, SPC 계산, Cpk 자동 계산, 이상치 탐지 기본 로직을 구현함. Phase 3(5~6주)에서는 Isolation Forest 모델 적용, 불량 예측 모델 구현, Streamlit 기반 내부 웹 대시보드를 개발하고 GPT 기반 자동 해석 코멘트를 생성함. Phase 4(7주)에서는 n8n을 활용하여 MES 폴더 감시→CSV 자동 감지→Python 분석 실행→결과 자동 메일/Slack 알림 발송 워크플로를 구축함. Phase 5(8주)에서는 파일럿 적용, 기존 vs AI 비교 분석, ROI 보고서 작성 및 고도화 로드맵을 완성함</t>
  </si>
  <si>
    <t>본 과정은 의료기기 품질시스템 자원관리(NCS 세분류 1903090102)를 기반으로 하되, 기존 NCS 능력단위에 PBL 기반 AI 워크플로 MVP 구축, SPC·Cpk AI 자동 분석, Isolation Forest 이상 탐지 모델 개발, Streamlit 대시보드 설계·구현, n8n 자동화 파이프라인 구축, ROI 측정 및 고도화 로드맵 수립 등의 역량이 미반영되어 있어, 의료기기 제조 현장의 AI 프로세스 전환(APX) 수요와 규제 환경(KGMP, FDA 21 CFR Part 820)에 맞춘 교육 내용을 별도 설계하여 NCS 비적용으로 운영함</t>
  </si>
  <si>
    <t>의료기기 제조공정 실무자가 단일 공정 데이터를 기반으로 데이터 자동 분석 → 이상 탐지(SPC, Isolation Forest) → 내부 Streamlit 대시보드 → n8n 자동 알림 → ROI 검증까지 연결되는 '작동하는 AI 워크플로 MVP'를 8주간 직접 구축하여, 불량률 감소·리드타임 단축·다운타임 절감의 정량적 ROI를 실증하는 것을 목표로 함</t>
  </si>
  <si>
    <t>의료기기 제조공정의 실제 공정 데이터를 활용한 8주 PBL(Project Based Learning) 프로젝트를 통해, ChatGPT(전환 설계)·Claude Code(코드 구현)·n8n(자동화 연결)의 도구 역할 분리 구조를 체득하고, 각 Phase별 산출물을 누적하여 최종적으로 현장에 즉시 배포 가능한 AI 워크플로 MVP를 완성함으로써 제조 현장의 생산성·품질·비용 효율성을 실질적으로 향상합니다.</t>
  </si>
  <si>
    <t>* ChatGPT를 활용한 공정 데이터 구조 분석, KPI 정의, 유스케이스 설계 및 ROI 계산 논리 구조 설계 역량 습득
* Claude Code를 활용한 Pandas 기반 데이터 정제, SPC·Cpk 자동 계산, 이상치 탐지 로직 구현 역량 확보
* Isolation Forest 기반 불량 예측 모델 적용 및 Streamlit 내부 웹 대시보드 설계·개발 실습
* n8n 기반 MES 연동 자동화 워크플로(데이터 감지→분석→알림→리포트) 구축 및 Pilot ROI 검증 사례를 통해 이해 증진</t>
  </si>
  <si>
    <t>[Phase 1 (Wk 1-2): 전환 설계 &amp; 데이터 정의]
- ChatGPT를 활용한 공정 데이터 컬럼 분석 및 유스케이스 설계
- KPI 구조 설계(수율, 불량률, Cpk, 설비 가동률 등)
- 이상 탐지 기준 설계 및 ROI 계산 논리 구조 설계
- 산출물: 데이터 정의서, KPI 설계서, 유스케이스 설계 문서, ROI 계산 논리 구조</t>
  </si>
  <si>
    <t>[Phase 2-3 (Wk 3-6): 코드 구현 &amp; AI 모델·대시보드 개발]
- Claude Code 활용 Pandas 데이터 정제, SPC·Cpk 자동 계산, 이상치 탐지 로직 구현
- Isolation Forest 모델 적용 및 불량 예측 모델 구현
- Streamlit 기반 내부 웹 대시보드 개발(파일 업로드→통계 계산→이상 탐지→예측→PDF 리포트)
- ChatGPT 기반 모델 결과 자동 해석 코멘트 생성</t>
  </si>
  <si>
    <t>[Phase 4-5 (Wk 7-8): 자동화 연결 &amp; Pilot ROI 검증]
- n8n 기반 MES 폴더 감시→CSV 자동 감지→Python 분석→메일/Slack 알림 자동화 워크플로 구축
- 파일럿 적용 및 기존 vs AI 적용 비교 분석
- ROI 보고서 작성(불량률 감소×생산량, 리드타임 단축×인건비, 다운타임 감소×설비 비용)
- 최종 산출물: AI 공정 분석 웹앱, 이상 탐지 모델, 자동 알림 시스템, ROI 보고서, APX 고도화 로드맵</t>
  </si>
  <si>
    <t>강의: 각 Phase 착수 시 슬라이드 및 영상 자료를 활용하여 해당 Phase의 목표, 도구 활용법, 의료기기 제조공정 실무 사례를 중심으로 설명
실습(PBL): 8주간 실제 공정 데이터를 활용한 프로젝트 기반 학습(PBL)으로 ChatGPT(전환 설계)·Claude Code(코드 구현)·n8n(자동화 연결) 도구별 역할 분리 구조에 따른 직무 밀착형 실습 수행
코칭: Phase별 1:1 및 그룹 코칭을 통해 프로젝트 진행 상황 점검, 기술적 난관 해결 및 방향성 조정
토론: 의료기기 제조공정 AI 자동화 시 GMP 적합성, 데이터 무결성, 모델 신뢰성, 변경관리 등 실무 이슈에 대한 사례 기반 그룹 토론
Q&amp;A: 각 Phase별 실시간 질의응답을 통해 이해도 점검 및 즉각 피드백 제공</t>
  </si>
  <si>
    <t>Phase별 마일스톤 산출물 중간 점검 및 피드백(Phase 1: 데이터 정의서·KPI 설계서, Phase 2: Python 분석 코드·SPC 모듈, Phase 3: 대시보드·예측 모델)
Phase 4 n8n 자동화 워크플로 작동 검증
Phase 5 최종 산출물 5종(AI 웹앱, 이상 탐지 모델, 자동 알림, ROI 보고서, 고도화 로드맵) 발표 및 동료·강사·멘토 피드백
전체 프로젝트 ROI 정량 성과(불량률·리드타임·다운타임 개선 수치) 종합 평가</t>
  </si>
  <si>
    <t>09.의료장비제조 &gt; 04.의료기기연구개발&gt; 의료기기 연구개발기획</t>
  </si>
  <si>
    <t>자체교재</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</si>
  <si>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</si>
  <si>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</si>
  <si>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</si>
  <si>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</si>
  <si>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 xml:space="preserve">[Basic]
Lv.1 - 의료·바이오 AI 리터러시 입문
Lv.2 - AI 활용 문서 작성 및 데이터 분석 기초
Lv.3 - AI 워크플로우의 이해 및 실습
[Advance]
Lv.4 - QA/QMS AX 문서 자동화 및 품질 AI 워크플로 설계
Lv.5 - 의료기기 제조공정 문서 AI 자동화 및 공정 데이터 분석
Lv.5 - 의료기기 개발(품질,임상,공정) 데이터 기반 의사결정 워크플로 및 대시보드 설계
Lv.4 - R&amp;D 요구사항·설계 자동화 및 Traceability 구축
[Expert]
Lv.6 - 제조 공정 AI 워크플로 MVP 구축 </t>
    <phoneticPr fontId="2" type="noConversion"/>
  </si>
  <si>
    <t>의료기기 산업은 AI 전환(AX)이 가속화되고 있으나, 현장 실무자들은 생성형 AI의 활용 방법과 규제 환경에 대한 이해가 부족하여 업무 적용에 어려움을 겪는 경우가 많음. 또한 품질관리, 인허가(RA), R&amp;D 등 직무별 수요조사 결과 AI 리터러시 교육의 필요성이 제기됨. 본 과정은 이러한 현장의 AI 역량 격차를 해소하고, 의료기기 GMP·인허가·생산 실무에 생성형 AI를 안전하게 접목할 수 있는 기초 역량을 배양하여 업무의 정확성과 효율성을 높일 수 있다</t>
  </si>
  <si>
    <t>생성형 AI(LLM)의 구조와 작동 원리를 의료·바이오 산업 맥락에서 이해하고, AI 패러다임 변화가 의료기기 산업에 미치는 영향과 적용 사례를 학습하며 ChatGPT, Claude 등 기초 툴을 실습한다. 업무 전환을 위해 프롬프트 엔지니어링의 기본 구조(역할·맥락·출력형식)와 컨텍스트 설계, 페르소나 설정 및 출력 제어 방법을 익히고 의료기기 직무별(품질관리, RA, R&amp;D) 적용 실습을 진행한다. 의료 AI 윤리 및 규제 프레임워크(MFDS, FDA), 개인정보 비식별화 기법, AI 생성물의 저작권 이슈 및 사내 보안 가이드라인을 학습하여 민감정보를 안전하게 처리하는 역량을 강화한다.</t>
  </si>
  <si>
    <t>의료기기 산업에서는 품질문서·절차서·보고서 등 대량의 문서 작성과 비정형 데이터 분석이 핵심 업무이나, 현장 실무자들은 AI 도구를 활용한 문서 자동화 및 데이터 분석 역량이 부족하여 업무 효율화에 한계를 겪고 있음. 또한 AI 생성물의 환각(Hallucination) 문제와 팩트체크 역량 부재로 규제 문서의 신뢰성 확보에 어려움이 제기됨. 본 과정은 이러한 현장의 문서 작성·데이터 분석 역량 격차를 해소하고, 생성형 AI를 활용한 품질문서 초안 작성, 팩트체크 검증, 비정형 데이터 정형화·시각화 역량을 배양하여 업무의 효율성과 신뢰성을 높일 수 있다</t>
  </si>
  <si>
    <t>생성형 AI(Claude, ChatGPT, Gemini, NotebookLM)를 활용하여 대용량 의료기기 규격·문헌을 요약하고, 절차서·품질문서 템플릿 기반 초안을 생성하며, 비즈니스 글쓰기 톤·형식 제어를 통해 문서 작성 실무 역량을 학습한다. AI 생성물의 환각(Hallucination) 원인과 발생 패턴을 분석하고, 의료기기 규제 문서의 출처·수치 교차 검증 프롬프트를 설계하며, 팩트체크 검증 루틴 체크리스트를 작성·적용하는 실습을 진행한다. 의료기기 품질·생산·임상 분야의 비정형 데이터를 분석·기획하고, 데이터 정제 프롬프트 설계 및 정형화 실습을 수행하며, Excel, Google Spreadsheet, Tableau를 활용한 시각화 및 인사이트 도출·리포팅 역량을 강화한다.</t>
  </si>
  <si>
    <t>의료기기 산업에서는 품질관리·인허가·생산 등 반복 업무의 비중이 높으나, 현장 실무자들은 AI 워크플로우 설계·자동화 역량이 부족하여 업무 프로세스 혁신에 한계를 겪고 있음. 또한 업무별 최적 AI 모델 선정 기준과 노코드·로우코드 자동화 도구 활용 역량에 대한 교육 수요가 제기됨. 본 과정은 이러한 현장의 업무 자동화 역량 격차를 해소하고, 직무 워크플로우를 체계적으로 분해하여 AI 개입 지점을 발굴하며, n8n·Google AI Studio 등을 활용한 업무 프로세스 자동화 역량을 배양하여 업무의 효율성과 정확성을 높일 수 있다</t>
  </si>
  <si>
    <t>의료기기 직무 워크플로우(품질관리, RA, 생산 등)를 체계적으로 분해하여 업무 병목 구간을 식별하고, AI 개입 지점을 매핑하여 업무 자동화 가능 영역을 발굴하는 실습을 진행한다. 주요 AI 모델(GPT, Claude, Gemini 등)의 특성과 장단점을 비교 분석하고, 의료기기 업무 특성에 맞는 적재적소 도구 배치 전략을 수립하며, GMP·규제 환경별 보안 기준에 따른 도구 선택 및 멀티모달 기초 활용 방법을 학습한다. n8n 기반 의료기기 업무 AI 워크플로우 설계·구현과 Google AI Studio를 활용한 자동화 파이프라인 구현 실습을 수행하며, CAPA 추적·일탈 관리·문서 검토 자동화 등 실무 시나리오에 적용하는 역량을 강화한다.</t>
  </si>
  <si>
    <t>의료기기 QA/QMS 현장에서는 ISO 13485 체계 내 SOP, CAPA, 내부감사 보고서 등 반복 문서의 작성·관리 업무 부담이 높으나, AI 기반 문서 자동화 및 품질 워크플로 설계 역량이 부족하여 업무 효율화에 한계를 겪고 있음. 또한 문서 검증·이력관리의 수작업 의존도가 높아 정확성과 추적성 확보에 어려움이 제기됨. 본 과정은 이러한 현장의 QMS 문서 자동화 역량 격차를 해소하고, GPT/Claude 기반 문서 구조화·자동 생성, 검증 체크리스트 자동화, n8n 기반 품질 AI 워크플로 설계·구축 역량을 배양하여 QA 업무의 정확성·효율성·추적성을 높일 수 있다</t>
  </si>
  <si>
    <t>ISO 13485 기반 QMS 반복 문서(SOP, CAPA, 내부감사)의 구조를 분석하고, ISO 요구사항과 문서 항목 간 자동 매핑 구조를 설계하며, GPT/Claude를 활용한 문서 템플릿 프롬프트 설계 실습을 진행한다. CAPA 보고서의 AI 논리 구조화 및 자동 초안 생성, 내부감사 체크리스트 AI 자동 생성, 문서 검증 체크리스트 자동화 및 품질 로그 분석 기법을 학습한다. n8n 기반 QA 워크플로 자동화(문서 작성 → 검증 → 이력관리)를 설계하고, 엑셀/구글시트 기반 품질 로그 자동 분석 파이프라인을 구현하며, SOP 자동 작성 템플릿·CAPA 워크플로·감사 대응 체크리스트·QA 플레이북 등 산출물을 완성하는 역량을 강화한다.</t>
  </si>
  <si>
    <t>의료기기 제조부문에서는 DMR/DHR, 제조기록서, 공정 밸리데이션 문서 등 반복 문서의 작성·관리 부담이 높으나, AI 기반 문서 자동화 및 공정 데이터 분석 역량이 부족하여 업무 효율화에 한계를 겪고 있음. 또한 제조공정 데이터(수율, 일탈, 설비 가동률)의 체계적 분석과 이상 감지·예측 역량에 대한 현장 교육 수요가 제기됨. 본 과정은 이러한 현장의 제조공정 문서 자동화·데이터 분석 역량 격차를 해소하고, GPT/Claude 기반 제조문서 자동 생성·검증, 공정 데이터 AI 분석·시각화, n8n 기반 제조공정 AI 워크플로 설계·구축 역량을 배양하여 제조 현장의 품질·생산성·추적성을 높일 수 있다</t>
  </si>
  <si>
    <t>의료기기 GMP(KGMP, FDA 21 CFR Part 820) 기반 DMR/DHR 문서 구조를 분석하고, 제조기록서·밸리데이션 문서의 AI 자동 초안 생성 실습을 수행하며, GPT/Claude 및 Office for Claude를 활용한 템플릿 프롬프트 설계 역량을 학습한다. 제조공정 데이터(수율, 일탈, 설비 가동률)를 AI로 분석·시각화하고, 공정 이상 감지 및 예측 모델(SPC·트렌드 분석) 기초를 이해하며, 엑셀/구글시트 기반 공정 데이터 대시보드를 구성하는 실습을 진행한다. n8n 기반 제조공정 AI 워크플로 자동화(문서 생성 → 검증 → 공정데이터 분석)를 설계하고, 공정 개선 인사이트 리포팅 실습을 수행하며, DMR/DHR 자동 작성 템플릿·제조기록서 AI 워크플로·공정 데이터 대시보드·제조공정 AI 플레이북 등 산출물을 완성하는 역량을 강화한다.</t>
  </si>
  <si>
    <t>의료기기 산업 현장에서는 품질·임상·공정 부서별 데이터가 엑셀 개별 관리·수동 집계·복붙 보고서 방식으로 분산 운영되어, 데이터 기반 의사결정의 정확성·신속성·일관성 확보에 한계를 겪고 있음. 또한 KPI 체계 부재와 자동 분석·리포팅 역량 부족으로 부서 간 통합 데이터 활용에 대한 현장 교육 수요가 제기됨. 본 과정은 이러한 현장의 데이터 기반 의사결정 역량 격차를 해소하고, Python/Pandas 기반 데이터 정제·KPI 설계, Streamlit 기반 대시보드 구축, GPT 기반 자동 분석 코멘트·리포트 생성 워크플로를 완성하여 기존 수동 방식에서 AI 자동 분석·리포팅 체계로의 전환 역량을 배양할 수 있다</t>
  </si>
  <si>
    <t>의료기기 품질·임상·공정 데이터 유형을 분석·진단하고, Pandas 기반 데이터 정제·구조화 실습을 수행하며, KPI 수식(수율, 일탈률, CAPA 완료율, 임상 등록률 등)을 설계하고 바이브코딩을 활용한 자동 분석 코드 생성 역량을 학습한다. Streamlit 기반 내부 KPI 대시보드 앱을 직접 제작하고, 품질·임상·공정 KPI 시각화 구성(차트, 테이블, 필터) 및 부서별 데이터 통합 뷰 설계·인터랙티브 기능을 구현하는 실습을 진행한다. GPT 기반 KPI 자동 해석 코멘트 생성 기법을 익히고, 데이터 수집부터 정제·KPI·시각화·AI 코멘트·리포트까지 내부 분석 워크플로를 완성하며, 자동 리포트 생성 프로그램을 구축하여 KPI 대시보드·Python 코드·자동 리포트·KPI 정의 문서·의사결정 프레임워크 등 산출물을 완성하는 역량을 강화한다.</t>
  </si>
  <si>
    <t>의료기기 R&amp;D 현장에서는 URS/SRS 도출, 테스트 케이스 작성, 변경 영향 분석(ECO), Traceability 매트릭스 관리 등 설계관리 문서를 수기·수동으로 작성하여 누락 위험, 논리 일관성 부족, 추적성 붕괴, 문서 작성 시간 과다 등의 문제를 겪고 있음. 또한 IEC 62304, ISO 14971, FDA Design Controls 등 규제 환경에서 요구하는 설계문서의 완전성·추적성 확보에 대한 AI 자동화 교육 수요가 제기됨. 본 과정은 이러한 현장의 설계관리 자동화 역량 격차를 해소하고, ChatGPT/Claude 기반 URS/SRS 자동 도출, Python Script 기반 테스트 케이스 자동 생성, ECO 변경 영향 AI 분석, Traceability 매트릭스 자동 구축 및 n8n/Google AI Studio 기반 설계관리 AI 워크플로 완성 역량을 배양하여 R&amp;D 업무의 정확성·효율성·추적성을 높일 수 있다</t>
  </si>
  <si>
    <t>의료기기 설계관리(Design Controls) 프로세스를 IEC 62304, ISO 14971, FDA 기준으로 구조 분석하고, As-Is 문제점을 진단하여 AI 자동화 적용 지점을 도출하며, ChatGPT/Claude 기반 URS→SRS 자동 도출 및 Confluence 템플릿 연동 실습을 진행한다. SRS 기반 테스트 케이스(TC)를 Python Script로 자동 생성하여 CSV/Excel로 출력하고, ECO 발생 시 변경 영향 분석을 AI로 자동화하며, 변경–요구사항–테스트 간 영향 범위 자동 산출 기법을 학습한다. 요구사항–설계–테스트–리스크 간 Traceability 매트릭스를 ChatGPT를 활용하여 자동 구축하고, n8n/Google AI Studio 기반 설계관리 AI 워크플로를 설계·구현하며, 요구사항 자동 도출 템플릿·TC 생성 자동화 시스템·Traceability 자동 매트릭스 등 산출물을 완성하는 역량을 강화한다.</t>
  </si>
  <si>
    <t>의료기기 제조 현장에서는 공정 데이터가 축적되고 있으나, 데이터 기반 이상 탐지·불량 예측·자동 리포팅 체계가 부재하여 수동 분석과 경험 기반 판단에 의존하고 있음. 또한 AFX(기초)·ALX(직무 특화) 교육에서 습득한 AI 역량을 실제 현장에 적용하여 작동하는 MVP로 구현하고 ROI를 실증하는 프로젝트 실행 교육에 대한 수요가 제기됨. 본 과정은 이러한 현장의 AI 프로세스 전환 실행 역량 격차를 해소하고, 8주 PBL 방식으로 ChatGPT(전환 설계)·Claude Code(코드 구현)·n8n(자동화 연결)을 활용하여 데이터 자동 분석 → 이상 탐지 → 대시보드 → 자동 알림 → ROI 검증까지 연결되는 작동하는 AI 워크플로 MVP를 구축하여 불량률 감소·리드타임 단축·다운타임 절감의 정량적 성과를 실현할 수 있다</t>
  </si>
  <si>
    <t>ChatGPT를 활용하여 공정 데이터 컴럼 분석 및 유스케이스를 설계하고, KPI 구조(수율, 불량률, Cpk, 설비 가동률 등)를 정의하며, 이상 탐지 기준 설계 및 ROI 계산 논리 구조를 수립하는 전환 설계를 진행한다. Claude Code를 활용하여 Pandas 기반 데이터 정제, SPC·Cpk 자동 계산, 이상치 탐지 로직을 구현하고, Isolation Forest 모델 적용 및 불량 예측 모델을 개발하며, Streamlit 기반 내부 웹 대시보드를 개발하고 GPT 기반 자동 해석 코멘트를 생성하는 실습을 수행한다. n8n 기반 MES 폴더 감시 → CSV 자동 감지 → Python 분석 실행 → 메일/Slack 알림 자동화 워크플로를 구축하고, 파일럿 적용 및 기존 vs AI 비교 분석을 수행하며, ROI 보고서(불량률 감소·리드타임 단축·다운타임 감소) 작성 및 고도화 로드맵을 완성하여 AI 공정 분석 웹앱·이상 탐지 모델·자동 알림 시스템·ROI 보고서·APX 고도화 로드맵 등 최종 산출물을 완성하는 역량을 강화한다.</t>
  </si>
  <si>
    <t>{{edu_future}}</t>
    <phoneticPr fontId="2" type="noConversion"/>
  </si>
  <si>
    <t>{{edu_needreason}}</t>
    <phoneticPr fontId="2" type="noConversion"/>
  </si>
  <si>
    <t>{{edu_curri}}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</si>
</sst>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sz val="10"/>
      <color theme="1"/>
      <name val="맑은 고딕"/>
      <family val="2"/>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diagonal/>
    </border>
    <border>
      <left/>
      <right style="thin">
        <color theme="0" tint="-0.34998626667073579"/>
      </right>
      <top/>
      <bottom/>
      <diagonal/>
    </border>
  </borders>
  <cellStyleXfs count="1">
    <xf numFmtId="0" fontId="0" fillId="0" borderId="0">
      <alignment vertical="center"/>
    </xf>
  </cellStyleXfs>
  <cellXfs count="71">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0" borderId="1" xfId="0" applyFont="1" applyBorder="1" applyAlignment="1">
      <alignment vertical="center" wrapText="1"/>
    </xf>
    <xf numFmtId="0" fontId="4" fillId="0" borderId="5" xfId="0" applyFont="1" applyBorder="1" applyAlignment="1">
      <alignment horizontal="center" vertical="center" wrapText="1"/>
    </xf>
    <xf numFmtId="0" fontId="0" fillId="0" borderId="1" xfId="0" applyBorder="1" applyAlignment="1">
      <alignment vertical="center" wrapText="1"/>
    </xf>
    <xf numFmtId="0" fontId="6" fillId="0" borderId="2" xfId="0" applyFont="1" applyBorder="1">
      <alignment vertical="center"/>
    </xf>
    <xf numFmtId="0" fontId="6" fillId="6" borderId="8"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8" xfId="0" applyFont="1" applyFill="1" applyBorder="1" applyAlignment="1">
      <alignment horizontal="center" vertical="center"/>
    </xf>
    <xf numFmtId="0" fontId="0" fillId="0" borderId="0" xfId="0" applyAlignment="1"/>
    <xf numFmtId="0" fontId="0" fillId="0" borderId="1" xfId="0" applyBorder="1" applyAlignment="1"/>
    <xf numFmtId="0" fontId="7" fillId="0" borderId="0" xfId="0" applyFont="1" applyAlignment="1"/>
    <xf numFmtId="0" fontId="10" fillId="0" borderId="0" xfId="0" applyFont="1" applyAlignment="1"/>
    <xf numFmtId="0" fontId="0" fillId="7" borderId="1" xfId="0" applyFill="1" applyBorder="1" applyAlignment="1">
      <alignment horizontal="center" vertical="center"/>
    </xf>
    <xf numFmtId="0" fontId="4" fillId="0" borderId="5" xfId="0" applyFont="1" applyBorder="1" applyAlignment="1">
      <alignment vertical="center" wrapText="1"/>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0" borderId="10" xfId="0" applyBorder="1">
      <alignment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3" borderId="0" xfId="0" applyFill="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2"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0" fontId="0" fillId="3" borderId="1" xfId="0" applyFill="1" applyBorder="1" applyAlignment="1">
      <alignment horizontal="left" vertical="center"/>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1" xfId="0" applyFill="1" applyBorder="1" applyAlignment="1" applyProtection="1">
      <alignment horizontal="center" vertical="center"/>
      <protection locked="0"/>
    </xf>
    <xf numFmtId="0" fontId="0" fillId="9" borderId="0" xfId="0" applyFill="1" applyAlignment="1" applyProtection="1">
      <alignment horizontal="center" vertical="center"/>
      <protection locked="0"/>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26A6-0112-4A9E-A72B-7D81A225626E}">
  <dimension ref="A1:P128"/>
  <sheetViews>
    <sheetView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241</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F64&amp;"시간( "&amp;K117&amp;"일)"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c r="D13" s="53"/>
      <c r="E13" s="53"/>
      <c r="F13" s="53"/>
      <c r="G13" s="53"/>
      <c r="H13" s="53"/>
      <c r="I13" s="54"/>
      <c r="J13" s="55" t="s">
        <v>37</v>
      </c>
      <c r="K13" s="55"/>
      <c r="L13" s="10"/>
      <c r="M13" s="10"/>
      <c r="N13" s="10"/>
      <c r="O13" s="10"/>
      <c r="P13" s="10"/>
    </row>
    <row r="14" spans="1:16" ht="21.75" customHeight="1" x14ac:dyDescent="0.3">
      <c r="A14" s="11" t="s">
        <v>234</v>
      </c>
      <c r="B14" s="4" t="s">
        <v>235</v>
      </c>
      <c r="C14" s="53"/>
      <c r="D14" s="53"/>
      <c r="E14" s="53"/>
      <c r="F14" s="53"/>
      <c r="G14" s="53"/>
      <c r="H14" s="53"/>
      <c r="I14" s="54"/>
      <c r="J14" s="55" t="s">
        <v>236</v>
      </c>
      <c r="K14" s="55"/>
      <c r="L14" s="10"/>
      <c r="M14" s="10"/>
      <c r="N14" s="10"/>
      <c r="O14" s="10"/>
      <c r="P14" s="10"/>
    </row>
    <row r="15" spans="1:16" ht="21.75" customHeight="1" x14ac:dyDescent="0.3">
      <c r="A15" s="11" t="s">
        <v>193</v>
      </c>
      <c r="B15" s="4" t="s">
        <v>189</v>
      </c>
      <c r="C15" s="53"/>
      <c r="D15" s="53"/>
      <c r="E15" s="53"/>
      <c r="F15" s="53"/>
      <c r="G15" s="53"/>
      <c r="H15" s="53"/>
      <c r="I15" s="54"/>
      <c r="J15" s="55" t="s">
        <v>188</v>
      </c>
      <c r="K15" s="55"/>
      <c r="L15" s="10"/>
      <c r="M15" s="10"/>
      <c r="N15" s="10"/>
      <c r="O15" s="10"/>
      <c r="P15" s="10"/>
    </row>
    <row r="16" spans="1:16" ht="21.75" customHeight="1" x14ac:dyDescent="0.3">
      <c r="A16" s="11" t="s">
        <v>192</v>
      </c>
      <c r="B16" s="4" t="s">
        <v>190</v>
      </c>
      <c r="C16" s="53"/>
      <c r="D16" s="53"/>
      <c r="E16" s="53"/>
      <c r="F16" s="53"/>
      <c r="G16" s="53"/>
      <c r="H16" s="53"/>
      <c r="I16" s="54"/>
      <c r="J16" s="55" t="s">
        <v>191</v>
      </c>
      <c r="K16" s="55"/>
      <c r="L16" s="10"/>
      <c r="M16" s="10"/>
      <c r="N16" s="10"/>
      <c r="O16" s="10"/>
      <c r="P16" s="10"/>
    </row>
    <row r="17" spans="1:16" ht="48.75" customHeight="1" x14ac:dyDescent="0.3">
      <c r="A17" s="11" t="s">
        <v>182</v>
      </c>
      <c r="B17" s="4" t="s">
        <v>217</v>
      </c>
      <c r="C17" s="53"/>
      <c r="D17" s="53"/>
      <c r="E17" s="53"/>
      <c r="F17" s="53"/>
      <c r="G17" s="53"/>
      <c r="H17" s="53"/>
      <c r="I17" s="54"/>
      <c r="J17" s="55" t="s">
        <v>181</v>
      </c>
      <c r="K17" s="55"/>
      <c r="L17" s="10"/>
      <c r="M17" s="10"/>
      <c r="N17" s="10"/>
      <c r="O17" s="10"/>
      <c r="P17" s="10"/>
    </row>
    <row r="18" spans="1:16" ht="48.75" customHeight="1" x14ac:dyDescent="0.3">
      <c r="A18" s="11" t="s">
        <v>194</v>
      </c>
      <c r="B18" s="4" t="s">
        <v>218</v>
      </c>
      <c r="C18" s="53"/>
      <c r="D18" s="53"/>
      <c r="E18" s="53"/>
      <c r="F18" s="53"/>
      <c r="G18" s="53"/>
      <c r="H18" s="53"/>
      <c r="I18" s="54"/>
      <c r="J18" s="55" t="s">
        <v>181</v>
      </c>
      <c r="K18" s="55"/>
      <c r="L18" s="10"/>
      <c r="M18" s="10"/>
      <c r="N18" s="10"/>
      <c r="O18" s="10"/>
      <c r="P18" s="10"/>
    </row>
    <row r="19" spans="1:16" ht="44.25" customHeight="1" x14ac:dyDescent="0.3">
      <c r="A19" s="11" t="s">
        <v>221</v>
      </c>
      <c r="B19" s="4" t="s">
        <v>22</v>
      </c>
      <c r="C19" s="57"/>
      <c r="D19" s="53"/>
      <c r="E19" s="53"/>
      <c r="F19" s="53"/>
      <c r="G19" s="53"/>
      <c r="H19" s="53"/>
      <c r="I19" s="54"/>
      <c r="J19" s="55" t="s">
        <v>39</v>
      </c>
      <c r="K19" s="55"/>
      <c r="L19" s="10"/>
      <c r="M19" s="10"/>
      <c r="N19" s="10"/>
      <c r="O19" s="10"/>
      <c r="P19" s="10"/>
    </row>
    <row r="20" spans="1:16" ht="28.5" customHeight="1" x14ac:dyDescent="0.3">
      <c r="A20" s="11" t="s">
        <v>224</v>
      </c>
      <c r="B20" s="4" t="s">
        <v>25</v>
      </c>
      <c r="C20" s="53"/>
      <c r="D20" s="53"/>
      <c r="E20" s="53"/>
      <c r="F20" s="53"/>
      <c r="G20" s="53"/>
      <c r="H20" s="53"/>
      <c r="I20" s="54"/>
      <c r="J20" s="55" t="s">
        <v>40</v>
      </c>
      <c r="K20" s="55"/>
      <c r="L20" s="10"/>
      <c r="M20" s="10"/>
      <c r="N20" s="10"/>
      <c r="O20" s="10"/>
      <c r="P20" s="10"/>
    </row>
    <row r="21" spans="1:16" ht="78" customHeight="1" x14ac:dyDescent="0.3">
      <c r="A21" s="11" t="s">
        <v>225</v>
      </c>
      <c r="B21" s="4" t="s">
        <v>27</v>
      </c>
      <c r="C21" s="57"/>
      <c r="D21" s="53"/>
      <c r="E21" s="53"/>
      <c r="F21" s="53"/>
      <c r="G21" s="53"/>
      <c r="H21" s="53"/>
      <c r="I21" s="54"/>
      <c r="J21" s="55" t="s">
        <v>41</v>
      </c>
      <c r="K21" s="55"/>
      <c r="L21" s="10"/>
      <c r="M21" s="10"/>
      <c r="N21" s="10"/>
      <c r="O21" s="10"/>
      <c r="P21" s="10"/>
    </row>
    <row r="22" spans="1:16" ht="62.25" customHeight="1" x14ac:dyDescent="0.3">
      <c r="A22" s="11" t="s">
        <v>226</v>
      </c>
      <c r="B22" s="58" t="s">
        <v>28</v>
      </c>
      <c r="C22" s="57"/>
      <c r="D22" s="53"/>
      <c r="E22" s="53"/>
      <c r="F22" s="53"/>
      <c r="G22" s="53"/>
      <c r="H22" s="53"/>
      <c r="I22" s="54"/>
      <c r="J22" s="55" t="s">
        <v>229</v>
      </c>
      <c r="K22" s="55"/>
      <c r="L22" s="10"/>
      <c r="M22" s="10"/>
      <c r="N22" s="10"/>
      <c r="O22" s="10"/>
      <c r="P22" s="10"/>
    </row>
    <row r="23" spans="1:16" ht="62.25" customHeight="1" x14ac:dyDescent="0.3">
      <c r="A23" s="11" t="s">
        <v>227</v>
      </c>
      <c r="B23" s="58"/>
      <c r="C23" s="57"/>
      <c r="D23" s="53"/>
      <c r="E23" s="53"/>
      <c r="F23" s="53"/>
      <c r="G23" s="53"/>
      <c r="H23" s="53"/>
      <c r="I23" s="54"/>
      <c r="J23" s="55" t="s">
        <v>230</v>
      </c>
      <c r="K23" s="55"/>
      <c r="L23" s="10"/>
      <c r="M23" s="10"/>
      <c r="N23" s="10"/>
      <c r="O23" s="10"/>
      <c r="P23" s="10"/>
    </row>
    <row r="24" spans="1:16" ht="62.25" customHeight="1" x14ac:dyDescent="0.3">
      <c r="A24" s="11" t="s">
        <v>228</v>
      </c>
      <c r="B24" s="58"/>
      <c r="C24" s="57"/>
      <c r="D24" s="53"/>
      <c r="E24" s="53"/>
      <c r="F24" s="53"/>
      <c r="G24" s="53"/>
      <c r="H24" s="53"/>
      <c r="I24" s="54"/>
      <c r="J24" s="55" t="s">
        <v>231</v>
      </c>
      <c r="K24" s="55"/>
      <c r="L24" s="10"/>
      <c r="M24" s="10"/>
      <c r="N24" s="10"/>
      <c r="O24" s="10"/>
      <c r="P24" s="10"/>
    </row>
    <row r="25" spans="1:16" ht="83.25" customHeight="1" x14ac:dyDescent="0.3">
      <c r="A25" s="11" t="s">
        <v>232</v>
      </c>
      <c r="B25" s="6" t="s">
        <v>29</v>
      </c>
      <c r="C25" s="57"/>
      <c r="D25" s="53"/>
      <c r="E25" s="53"/>
      <c r="F25" s="53"/>
      <c r="G25" s="53"/>
      <c r="H25" s="53"/>
      <c r="I25" s="54"/>
      <c r="J25" s="55" t="s">
        <v>45</v>
      </c>
      <c r="K25" s="55"/>
      <c r="L25" s="10"/>
      <c r="M25" s="10"/>
      <c r="N25" s="10"/>
      <c r="O25" s="10"/>
      <c r="P25" s="10"/>
    </row>
    <row r="26" spans="1:16" ht="47.25" customHeight="1" x14ac:dyDescent="0.3">
      <c r="A26" s="11" t="s">
        <v>237</v>
      </c>
      <c r="B26" s="6" t="s">
        <v>46</v>
      </c>
      <c r="C26" s="57"/>
      <c r="D26" s="53"/>
      <c r="E26" s="53"/>
      <c r="F26" s="53"/>
      <c r="G26" s="53"/>
      <c r="H26" s="53"/>
      <c r="I26" s="54"/>
      <c r="J26" s="55" t="s">
        <v>47</v>
      </c>
      <c r="K26" s="55"/>
      <c r="L26" s="10"/>
      <c r="M26" s="10"/>
      <c r="N26" s="10"/>
      <c r="O26" s="10"/>
      <c r="P26" s="10"/>
    </row>
    <row r="27" spans="1:16" ht="29.25" customHeight="1" x14ac:dyDescent="0.3">
      <c r="A27" s="11" t="s">
        <v>233</v>
      </c>
      <c r="B27" s="4" t="s">
        <v>26</v>
      </c>
      <c r="C27" s="53"/>
      <c r="D27" s="53"/>
      <c r="E27" s="53"/>
      <c r="F27" s="53"/>
      <c r="G27" s="53"/>
      <c r="H27" s="53"/>
      <c r="I27" s="54"/>
      <c r="J27" s="55" t="s">
        <v>48</v>
      </c>
      <c r="K27" s="55"/>
      <c r="L27" s="10"/>
      <c r="M27" s="10"/>
      <c r="N27" s="10"/>
      <c r="O27" s="10"/>
      <c r="P27" s="10"/>
    </row>
    <row r="28" spans="1:16" ht="218.25" customHeight="1" x14ac:dyDescent="0.3">
      <c r="A28" s="11" t="s">
        <v>233</v>
      </c>
      <c r="B28" s="39" t="s">
        <v>239</v>
      </c>
      <c r="C28" s="53"/>
      <c r="D28" s="53"/>
      <c r="E28" s="53"/>
      <c r="F28" s="53"/>
      <c r="G28" s="53"/>
      <c r="H28" s="53"/>
      <c r="I28" s="54"/>
      <c r="J28" s="55" t="s">
        <v>240</v>
      </c>
      <c r="K28" s="55"/>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41" t="s">
        <v>9</v>
      </c>
      <c r="C67" s="5" t="s">
        <v>8</v>
      </c>
      <c r="D67" s="5" t="s">
        <v>10</v>
      </c>
      <c r="E67" s="44" t="s">
        <v>13</v>
      </c>
      <c r="F67" s="45"/>
      <c r="G67" s="12" t="s">
        <v>11</v>
      </c>
      <c r="H67" s="44" t="s">
        <v>12</v>
      </c>
      <c r="I67" s="45"/>
      <c r="J67" s="12" t="s">
        <v>14</v>
      </c>
      <c r="K67" s="12" t="s">
        <v>31</v>
      </c>
    </row>
    <row r="68" spans="2:11" ht="22.5" customHeight="1" x14ac:dyDescent="0.3">
      <c r="B68" s="42"/>
      <c r="C68" s="1" t="s">
        <v>0</v>
      </c>
      <c r="D68" s="8" t="str">
        <f>IF(VLOOKUP(G68,$C$32:$E$63,2,FALSE)="","",VLOOKUP(G68,$C$32:$E$63,2,FALSE))</f>
        <v>1903090101_21v2</v>
      </c>
      <c r="E68" s="46" t="str">
        <f>IF(VLOOKUP(G68,$C$32:$E$63,3,FALSE)="","",VLOOKUP(G68,$C$32:$E$63,3,FALSE))</f>
        <v>의료기기 품질문서 개발</v>
      </c>
      <c r="F68" s="47"/>
      <c r="G68" s="13" t="s">
        <v>50</v>
      </c>
      <c r="H68" s="46" t="str">
        <f>IFERROR(VLOOKUP(G68,$G$32:$H$63,2,FALSE),"")</f>
        <v>하드웨어 분석하기</v>
      </c>
      <c r="I68" s="47"/>
      <c r="J68" s="15" t="s">
        <v>49</v>
      </c>
      <c r="K68" s="56"/>
    </row>
    <row r="69" spans="2:11" ht="22.5" customHeight="1" x14ac:dyDescent="0.3">
      <c r="B69" s="42"/>
      <c r="C69" s="1" t="s">
        <v>1</v>
      </c>
      <c r="D69" s="8" t="str">
        <f t="shared" ref="D69:D70" si="3">IF(VLOOKUP(G69,$C$32:$E$63,2,FALSE)="","",VLOOKUP(G69,$C$32:$E$63,2,FALSE))</f>
        <v/>
      </c>
      <c r="E69" s="46" t="str">
        <f t="shared" ref="E69:E70" si="4">IF(VLOOKUP(G69,$C$32:$E$63,3,FALSE)="","",VLOOKUP(G69,$C$32:$E$63,3,FALSE))</f>
        <v/>
      </c>
      <c r="F69" s="47"/>
      <c r="G69" s="13"/>
      <c r="H69" s="46" t="str">
        <f t="shared" ref="H69:H76" si="5">IFERROR(VLOOKUP(G69,$G$32:$H$63,2,FALSE),"")</f>
        <v/>
      </c>
      <c r="I69" s="47"/>
      <c r="J69" s="15"/>
      <c r="K69" s="49"/>
    </row>
    <row r="70" spans="2:11" ht="22.5" customHeight="1" x14ac:dyDescent="0.3">
      <c r="B70" s="42"/>
      <c r="C70" s="1" t="s">
        <v>2</v>
      </c>
      <c r="D70" s="8" t="str">
        <f t="shared" si="3"/>
        <v/>
      </c>
      <c r="E70" s="46" t="str">
        <f t="shared" si="4"/>
        <v/>
      </c>
      <c r="F70" s="47"/>
      <c r="G70" s="13"/>
      <c r="H70" s="46" t="str">
        <f t="shared" si="5"/>
        <v/>
      </c>
      <c r="I70" s="47"/>
      <c r="J70" s="15"/>
      <c r="K70" s="49"/>
    </row>
    <row r="71" spans="2:11" ht="22.5" customHeight="1" x14ac:dyDescent="0.3">
      <c r="B71" s="42"/>
      <c r="C71" s="2" t="s">
        <v>18</v>
      </c>
      <c r="D71" s="7"/>
      <c r="E71" s="51"/>
      <c r="F71" s="52"/>
      <c r="G71" s="17"/>
      <c r="H71" s="51"/>
      <c r="I71" s="52"/>
      <c r="J71" s="16"/>
      <c r="K71" s="49"/>
    </row>
    <row r="72" spans="2:11" ht="22.5" customHeight="1" x14ac:dyDescent="0.3">
      <c r="B72" s="42"/>
      <c r="C72" s="1" t="s">
        <v>3</v>
      </c>
      <c r="D72" s="8" t="str">
        <f>IF(VLOOKUP(G72,$C$32:$E$63,2,FALSE)="","",VLOOKUP(G72,$C$32:$E$63,2,FALSE))</f>
        <v/>
      </c>
      <c r="E72" s="46" t="str">
        <f>IF(VLOOKUP(G72,$C$32:$E$63,3,FALSE)="","",VLOOKUP(G72,$C$32:$E$63,3,FALSE))</f>
        <v/>
      </c>
      <c r="F72" s="47"/>
      <c r="G72" s="13"/>
      <c r="H72" s="46" t="str">
        <f t="shared" si="5"/>
        <v/>
      </c>
      <c r="I72" s="47"/>
      <c r="J72" s="15"/>
      <c r="K72" s="49"/>
    </row>
    <row r="73" spans="2:11" ht="22.5" customHeight="1" x14ac:dyDescent="0.3">
      <c r="B73" s="42"/>
      <c r="C73" s="1" t="s">
        <v>4</v>
      </c>
      <c r="D73" s="8" t="str">
        <f t="shared" ref="D73:D76" si="6">IF(VLOOKUP(G73,$C$32:$E$63,2,FALSE)="","",VLOOKUP(G73,$C$32:$E$63,2,FALSE))</f>
        <v/>
      </c>
      <c r="E73" s="46" t="str">
        <f t="shared" ref="E73:E76" si="7">IF(VLOOKUP(G73,$C$32:$E$63,3,FALSE)="","",VLOOKUP(G73,$C$32:$E$63,3,FALSE))</f>
        <v/>
      </c>
      <c r="F73" s="47"/>
      <c r="G73" s="13"/>
      <c r="H73" s="46" t="str">
        <f t="shared" si="5"/>
        <v/>
      </c>
      <c r="I73" s="47"/>
      <c r="J73" s="15"/>
      <c r="K73" s="49"/>
    </row>
    <row r="74" spans="2:11" ht="22.5" customHeight="1" x14ac:dyDescent="0.3">
      <c r="B74" s="42"/>
      <c r="C74" s="1" t="s">
        <v>5</v>
      </c>
      <c r="D74" s="8" t="str">
        <f t="shared" si="6"/>
        <v/>
      </c>
      <c r="E74" s="46" t="str">
        <f t="shared" si="7"/>
        <v/>
      </c>
      <c r="F74" s="47"/>
      <c r="G74" s="13"/>
      <c r="H74" s="46" t="str">
        <f t="shared" si="5"/>
        <v/>
      </c>
      <c r="I74" s="47"/>
      <c r="J74" s="15"/>
      <c r="K74" s="49"/>
    </row>
    <row r="75" spans="2:11" ht="22.5" customHeight="1" x14ac:dyDescent="0.3">
      <c r="B75" s="42"/>
      <c r="C75" s="1" t="s">
        <v>6</v>
      </c>
      <c r="D75" s="8" t="str">
        <f t="shared" si="6"/>
        <v/>
      </c>
      <c r="E75" s="46" t="str">
        <f t="shared" si="7"/>
        <v/>
      </c>
      <c r="F75" s="47"/>
      <c r="G75" s="13"/>
      <c r="H75" s="46" t="str">
        <f t="shared" si="5"/>
        <v/>
      </c>
      <c r="I75" s="47"/>
      <c r="J75" s="15"/>
      <c r="K75" s="49"/>
    </row>
    <row r="76" spans="2:11" ht="22.5" customHeight="1" x14ac:dyDescent="0.3">
      <c r="B76" s="43"/>
      <c r="C76" s="1" t="s">
        <v>7</v>
      </c>
      <c r="D76" s="8" t="str">
        <f t="shared" si="6"/>
        <v/>
      </c>
      <c r="E76" s="46" t="str">
        <f t="shared" si="7"/>
        <v/>
      </c>
      <c r="F76" s="47"/>
      <c r="G76" s="13"/>
      <c r="H76" s="46" t="str">
        <f t="shared" si="5"/>
        <v/>
      </c>
      <c r="I76" s="47"/>
      <c r="J76" s="15"/>
      <c r="K76" s="50"/>
    </row>
    <row r="77" spans="2:11" ht="22.5" customHeight="1" x14ac:dyDescent="0.3">
      <c r="B77" s="41" t="s">
        <v>16</v>
      </c>
      <c r="C77" s="5" t="s">
        <v>8</v>
      </c>
      <c r="D77" s="5" t="s">
        <v>10</v>
      </c>
      <c r="E77" s="44" t="s">
        <v>13</v>
      </c>
      <c r="F77" s="45"/>
      <c r="G77" s="12" t="s">
        <v>11</v>
      </c>
      <c r="H77" s="44" t="s">
        <v>12</v>
      </c>
      <c r="I77" s="45"/>
      <c r="J77" s="12" t="s">
        <v>14</v>
      </c>
      <c r="K77" s="12" t="s">
        <v>32</v>
      </c>
    </row>
    <row r="78" spans="2:11" ht="22.5" customHeight="1" x14ac:dyDescent="0.3">
      <c r="B78" s="42"/>
      <c r="C78" s="1" t="s">
        <v>0</v>
      </c>
      <c r="D78" s="8" t="str">
        <f>IF(VLOOKUP(G78,$C$32:$E$63,2,FALSE)="","",VLOOKUP(G78,$C$32:$E$63,2,FALSE))</f>
        <v/>
      </c>
      <c r="E78" s="46" t="str">
        <f>IF(VLOOKUP(G78,$C$32:$E$63,3,FALSE)="","",VLOOKUP(G78,$C$32:$E$63,3,FALSE))</f>
        <v/>
      </c>
      <c r="F78" s="47"/>
      <c r="G78" s="13"/>
      <c r="H78" s="46" t="str">
        <f>IFERROR(VLOOKUP(G78,$G$32:$H$63,2,FALSE),"")</f>
        <v/>
      </c>
      <c r="I78" s="47"/>
      <c r="J78" s="15"/>
      <c r="K78" s="48"/>
    </row>
    <row r="79" spans="2:11" ht="22.5" customHeight="1" x14ac:dyDescent="0.3">
      <c r="B79" s="42"/>
      <c r="C79" s="1" t="s">
        <v>1</v>
      </c>
      <c r="D79" s="8" t="str">
        <f t="shared" ref="D79:D80" si="8">IF(VLOOKUP(G79,$C$32:$E$63,2,FALSE)="","",VLOOKUP(G79,$C$32:$E$63,2,FALSE))</f>
        <v/>
      </c>
      <c r="E79" s="46" t="str">
        <f t="shared" ref="E79:E80" si="9">IF(VLOOKUP(G79,$C$32:$E$63,3,FALSE)="","",VLOOKUP(G79,$C$32:$E$63,3,FALSE))</f>
        <v/>
      </c>
      <c r="F79" s="47"/>
      <c r="G79" s="13"/>
      <c r="H79" s="46" t="str">
        <f t="shared" ref="H79:H86" si="10">IFERROR(VLOOKUP(G79,$G$32:$H$63,2,FALSE),"")</f>
        <v/>
      </c>
      <c r="I79" s="47"/>
      <c r="J79" s="15"/>
      <c r="K79" s="49"/>
    </row>
    <row r="80" spans="2:11" ht="22.5" customHeight="1" x14ac:dyDescent="0.3">
      <c r="B80" s="42"/>
      <c r="C80" s="1" t="s">
        <v>2</v>
      </c>
      <c r="D80" s="8" t="str">
        <f t="shared" si="8"/>
        <v/>
      </c>
      <c r="E80" s="46" t="str">
        <f t="shared" si="9"/>
        <v/>
      </c>
      <c r="F80" s="47"/>
      <c r="G80" s="13"/>
      <c r="H80" s="46" t="str">
        <f t="shared" si="10"/>
        <v/>
      </c>
      <c r="I80" s="47"/>
      <c r="J80" s="15"/>
      <c r="K80" s="49"/>
    </row>
    <row r="81" spans="2:11" ht="22.5" customHeight="1" x14ac:dyDescent="0.3">
      <c r="B81" s="42"/>
      <c r="C81" s="2" t="s">
        <v>18</v>
      </c>
      <c r="D81" s="7"/>
      <c r="E81" s="51"/>
      <c r="F81" s="52"/>
      <c r="G81" s="17"/>
      <c r="H81" s="51"/>
      <c r="I81" s="52"/>
      <c r="J81" s="16"/>
      <c r="K81" s="49"/>
    </row>
    <row r="82" spans="2:11" ht="22.5" customHeight="1" x14ac:dyDescent="0.3">
      <c r="B82" s="42"/>
      <c r="C82" s="1" t="s">
        <v>3</v>
      </c>
      <c r="D82" s="8" t="str">
        <f>IF(VLOOKUP(G82,$C$32:$E$63,2,FALSE)="","",VLOOKUP(G82,$C$32:$E$63,2,FALSE))</f>
        <v/>
      </c>
      <c r="E82" s="46" t="str">
        <f>IF(VLOOKUP(G82,$C$32:$E$63,3,FALSE)="","",VLOOKUP(G82,$C$32:$E$63,3,FALSE))</f>
        <v/>
      </c>
      <c r="F82" s="47"/>
      <c r="G82" s="13"/>
      <c r="H82" s="46" t="str">
        <f t="shared" si="10"/>
        <v/>
      </c>
      <c r="I82" s="47"/>
      <c r="J82" s="15"/>
      <c r="K82" s="49"/>
    </row>
    <row r="83" spans="2:11" ht="22.5" customHeight="1" x14ac:dyDescent="0.3">
      <c r="B83" s="42"/>
      <c r="C83" s="1" t="s">
        <v>4</v>
      </c>
      <c r="D83" s="8" t="str">
        <f t="shared" ref="D83:D86" si="11">IF(VLOOKUP(G83,$C$32:$E$63,2,FALSE)="","",VLOOKUP(G83,$C$32:$E$63,2,FALSE))</f>
        <v/>
      </c>
      <c r="E83" s="46" t="str">
        <f t="shared" ref="E83:E86" si="12">IF(VLOOKUP(G83,$C$32:$E$63,3,FALSE)="","",VLOOKUP(G83,$C$32:$E$63,3,FALSE))</f>
        <v/>
      </c>
      <c r="F83" s="47"/>
      <c r="G83" s="13"/>
      <c r="H83" s="46" t="str">
        <f t="shared" si="10"/>
        <v/>
      </c>
      <c r="I83" s="47"/>
      <c r="J83" s="15"/>
      <c r="K83" s="49"/>
    </row>
    <row r="84" spans="2:11" ht="22.5" customHeight="1" x14ac:dyDescent="0.3">
      <c r="B84" s="42"/>
      <c r="C84" s="1" t="s">
        <v>5</v>
      </c>
      <c r="D84" s="8" t="str">
        <f t="shared" si="11"/>
        <v/>
      </c>
      <c r="E84" s="46" t="str">
        <f t="shared" si="12"/>
        <v/>
      </c>
      <c r="F84" s="47"/>
      <c r="G84" s="13"/>
      <c r="H84" s="46" t="str">
        <f t="shared" si="10"/>
        <v/>
      </c>
      <c r="I84" s="47"/>
      <c r="J84" s="15"/>
      <c r="K84" s="49"/>
    </row>
    <row r="85" spans="2:11" ht="22.5" customHeight="1" x14ac:dyDescent="0.3">
      <c r="B85" s="42"/>
      <c r="C85" s="1" t="s">
        <v>6</v>
      </c>
      <c r="D85" s="8" t="str">
        <f t="shared" si="11"/>
        <v/>
      </c>
      <c r="E85" s="46" t="str">
        <f t="shared" si="12"/>
        <v/>
      </c>
      <c r="F85" s="47"/>
      <c r="G85" s="13"/>
      <c r="H85" s="46" t="str">
        <f t="shared" si="10"/>
        <v/>
      </c>
      <c r="I85" s="47"/>
      <c r="J85" s="15"/>
      <c r="K85" s="49"/>
    </row>
    <row r="86" spans="2:11" ht="22.5" customHeight="1" x14ac:dyDescent="0.3">
      <c r="B86" s="43"/>
      <c r="C86" s="1" t="s">
        <v>7</v>
      </c>
      <c r="D86" s="8" t="str">
        <f t="shared" si="11"/>
        <v/>
      </c>
      <c r="E86" s="46" t="str">
        <f t="shared" si="12"/>
        <v/>
      </c>
      <c r="F86" s="47"/>
      <c r="G86" s="13"/>
      <c r="H86" s="46" t="str">
        <f t="shared" si="10"/>
        <v/>
      </c>
      <c r="I86" s="47"/>
      <c r="J86" s="15"/>
      <c r="K86" s="50"/>
    </row>
    <row r="87" spans="2:11" ht="22.5" customHeight="1" x14ac:dyDescent="0.3">
      <c r="B87" s="41" t="s">
        <v>17</v>
      </c>
      <c r="C87" s="5" t="s">
        <v>8</v>
      </c>
      <c r="D87" s="5" t="s">
        <v>10</v>
      </c>
      <c r="E87" s="44" t="s">
        <v>13</v>
      </c>
      <c r="F87" s="45"/>
      <c r="G87" s="12" t="s">
        <v>11</v>
      </c>
      <c r="H87" s="44" t="s">
        <v>12</v>
      </c>
      <c r="I87" s="45"/>
      <c r="J87" s="12" t="s">
        <v>14</v>
      </c>
      <c r="K87" s="12" t="s">
        <v>33</v>
      </c>
    </row>
    <row r="88" spans="2:11" ht="22.5" customHeight="1" x14ac:dyDescent="0.3">
      <c r="B88" s="42"/>
      <c r="C88" s="1" t="s">
        <v>0</v>
      </c>
      <c r="D88" s="8" t="str">
        <f>IF(VLOOKUP(G88,$C$32:$E$63,2,FALSE)="","",VLOOKUP(G88,$C$32:$E$63,2,FALSE))</f>
        <v/>
      </c>
      <c r="E88" s="46" t="str">
        <f>IF(VLOOKUP(G88,$C$32:$E$63,3,FALSE)="","",VLOOKUP(G88,$C$32:$E$63,3,FALSE))</f>
        <v/>
      </c>
      <c r="F88" s="47"/>
      <c r="G88" s="13"/>
      <c r="H88" s="46" t="str">
        <f>IFERROR(VLOOKUP(G88,$G$32:$H$63,2,FALSE),"")</f>
        <v/>
      </c>
      <c r="I88" s="47"/>
      <c r="J88" s="15"/>
      <c r="K88" s="48"/>
    </row>
    <row r="89" spans="2:11" ht="22.5" customHeight="1" x14ac:dyDescent="0.3">
      <c r="B89" s="42"/>
      <c r="C89" s="1" t="s">
        <v>1</v>
      </c>
      <c r="D89" s="8" t="str">
        <f t="shared" ref="D89:D90" si="13">IF(VLOOKUP(G89,$C$32:$E$63,2,FALSE)="","",VLOOKUP(G89,$C$32:$E$63,2,FALSE))</f>
        <v/>
      </c>
      <c r="E89" s="46" t="str">
        <f t="shared" ref="E89:E90" si="14">IF(VLOOKUP(G89,$C$32:$E$63,3,FALSE)="","",VLOOKUP(G89,$C$32:$E$63,3,FALSE))</f>
        <v/>
      </c>
      <c r="F89" s="47"/>
      <c r="G89" s="13"/>
      <c r="H89" s="46" t="str">
        <f t="shared" ref="H89:H96" si="15">IFERROR(VLOOKUP(G89,$G$32:$H$63,2,FALSE),"")</f>
        <v/>
      </c>
      <c r="I89" s="47"/>
      <c r="J89" s="15"/>
      <c r="K89" s="49"/>
    </row>
    <row r="90" spans="2:11" ht="22.5" customHeight="1" x14ac:dyDescent="0.3">
      <c r="B90" s="42"/>
      <c r="C90" s="1" t="s">
        <v>2</v>
      </c>
      <c r="D90" s="8" t="str">
        <f t="shared" si="13"/>
        <v/>
      </c>
      <c r="E90" s="46" t="str">
        <f t="shared" si="14"/>
        <v/>
      </c>
      <c r="F90" s="47"/>
      <c r="G90" s="13"/>
      <c r="H90" s="46" t="str">
        <f t="shared" si="15"/>
        <v/>
      </c>
      <c r="I90" s="47"/>
      <c r="J90" s="15"/>
      <c r="K90" s="49"/>
    </row>
    <row r="91" spans="2:11" ht="22.5" customHeight="1" x14ac:dyDescent="0.3">
      <c r="B91" s="42"/>
      <c r="C91" s="2" t="s">
        <v>18</v>
      </c>
      <c r="D91" s="7"/>
      <c r="E91" s="51"/>
      <c r="F91" s="52"/>
      <c r="G91" s="17"/>
      <c r="H91" s="51"/>
      <c r="I91" s="52"/>
      <c r="J91" s="16"/>
      <c r="K91" s="49"/>
    </row>
    <row r="92" spans="2:11" ht="22.5" customHeight="1" x14ac:dyDescent="0.3">
      <c r="B92" s="42"/>
      <c r="C92" s="1" t="s">
        <v>3</v>
      </c>
      <c r="D92" s="8" t="str">
        <f>IF(VLOOKUP(G92,$C$32:$E$63,2,FALSE)="","",VLOOKUP(G92,$C$32:$E$63,2,FALSE))</f>
        <v/>
      </c>
      <c r="E92" s="46" t="str">
        <f>IF(VLOOKUP(G92,$C$32:$E$63,3,FALSE)="","",VLOOKUP(G92,$C$32:$E$63,3,FALSE))</f>
        <v/>
      </c>
      <c r="F92" s="47"/>
      <c r="G92" s="13"/>
      <c r="H92" s="46" t="str">
        <f t="shared" si="15"/>
        <v/>
      </c>
      <c r="I92" s="47"/>
      <c r="J92" s="15"/>
      <c r="K92" s="49"/>
    </row>
    <row r="93" spans="2:11" ht="22.5" customHeight="1" x14ac:dyDescent="0.3">
      <c r="B93" s="42"/>
      <c r="C93" s="1" t="s">
        <v>4</v>
      </c>
      <c r="D93" s="8" t="str">
        <f t="shared" ref="D93:D96" si="16">IF(VLOOKUP(G93,$C$32:$E$63,2,FALSE)="","",VLOOKUP(G93,$C$32:$E$63,2,FALSE))</f>
        <v/>
      </c>
      <c r="E93" s="46" t="str">
        <f t="shared" ref="E93:E96" si="17">IF(VLOOKUP(G93,$C$32:$E$63,3,FALSE)="","",VLOOKUP(G93,$C$32:$E$63,3,FALSE))</f>
        <v/>
      </c>
      <c r="F93" s="47"/>
      <c r="G93" s="13"/>
      <c r="H93" s="46" t="str">
        <f t="shared" si="15"/>
        <v/>
      </c>
      <c r="I93" s="47"/>
      <c r="J93" s="15"/>
      <c r="K93" s="49"/>
    </row>
    <row r="94" spans="2:11" ht="22.5" customHeight="1" x14ac:dyDescent="0.3">
      <c r="B94" s="42"/>
      <c r="C94" s="1" t="s">
        <v>5</v>
      </c>
      <c r="D94" s="8" t="str">
        <f t="shared" si="16"/>
        <v/>
      </c>
      <c r="E94" s="46" t="str">
        <f t="shared" si="17"/>
        <v/>
      </c>
      <c r="F94" s="47"/>
      <c r="G94" s="13"/>
      <c r="H94" s="46" t="str">
        <f t="shared" si="15"/>
        <v/>
      </c>
      <c r="I94" s="47"/>
      <c r="J94" s="15"/>
      <c r="K94" s="49"/>
    </row>
    <row r="95" spans="2:11" ht="22.5" customHeight="1" x14ac:dyDescent="0.3">
      <c r="B95" s="42"/>
      <c r="C95" s="1" t="s">
        <v>6</v>
      </c>
      <c r="D95" s="8" t="str">
        <f t="shared" si="16"/>
        <v/>
      </c>
      <c r="E95" s="46" t="str">
        <f t="shared" si="17"/>
        <v/>
      </c>
      <c r="F95" s="47"/>
      <c r="G95" s="13"/>
      <c r="H95" s="46" t="str">
        <f t="shared" si="15"/>
        <v/>
      </c>
      <c r="I95" s="47"/>
      <c r="J95" s="15"/>
      <c r="K95" s="49"/>
    </row>
    <row r="96" spans="2:11" ht="22.5" customHeight="1" x14ac:dyDescent="0.3">
      <c r="B96" s="43"/>
      <c r="C96" s="1" t="s">
        <v>7</v>
      </c>
      <c r="D96" s="8" t="str">
        <f t="shared" si="16"/>
        <v/>
      </c>
      <c r="E96" s="46" t="str">
        <f t="shared" si="17"/>
        <v/>
      </c>
      <c r="F96" s="47"/>
      <c r="G96" s="13"/>
      <c r="H96" s="46" t="str">
        <f t="shared" si="15"/>
        <v/>
      </c>
      <c r="I96" s="47"/>
      <c r="J96" s="15"/>
      <c r="K96" s="50"/>
    </row>
    <row r="97" spans="2:11" ht="22.5" customHeight="1" x14ac:dyDescent="0.3">
      <c r="B97" s="41" t="s">
        <v>19</v>
      </c>
      <c r="C97" s="5" t="s">
        <v>8</v>
      </c>
      <c r="D97" s="5" t="s">
        <v>10</v>
      </c>
      <c r="E97" s="44" t="s">
        <v>13</v>
      </c>
      <c r="F97" s="45"/>
      <c r="G97" s="12" t="s">
        <v>11</v>
      </c>
      <c r="H97" s="44" t="s">
        <v>12</v>
      </c>
      <c r="I97" s="45"/>
      <c r="J97" s="12" t="s">
        <v>14</v>
      </c>
      <c r="K97" s="12" t="s">
        <v>34</v>
      </c>
    </row>
    <row r="98" spans="2:11" ht="22.5" customHeight="1" x14ac:dyDescent="0.3">
      <c r="B98" s="42"/>
      <c r="C98" s="1" t="s">
        <v>0</v>
      </c>
      <c r="D98" s="8" t="str">
        <f>IF(VLOOKUP(G98,$C$32:$E$63,2,FALSE)="","",VLOOKUP(G98,$C$32:$E$63,2,FALSE))</f>
        <v/>
      </c>
      <c r="E98" s="46" t="str">
        <f>IF(VLOOKUP(G98,$C$32:$E$63,3,FALSE)="","",VLOOKUP(G98,$C$32:$E$63,3,FALSE))</f>
        <v/>
      </c>
      <c r="F98" s="47"/>
      <c r="G98" s="13"/>
      <c r="H98" s="46" t="str">
        <f>IFERROR(VLOOKUP(G98,$G$32:$H$63,2,FALSE),"")</f>
        <v/>
      </c>
      <c r="I98" s="47"/>
      <c r="J98" s="15"/>
      <c r="K98" s="48"/>
    </row>
    <row r="99" spans="2:11" ht="22.5" customHeight="1" x14ac:dyDescent="0.3">
      <c r="B99" s="42"/>
      <c r="C99" s="1" t="s">
        <v>1</v>
      </c>
      <c r="D99" s="8" t="str">
        <f t="shared" ref="D99:D100" si="18">IF(VLOOKUP(G99,$C$32:$E$63,2,FALSE)="","",VLOOKUP(G99,$C$32:$E$63,2,FALSE))</f>
        <v/>
      </c>
      <c r="E99" s="46" t="str">
        <f t="shared" ref="E99:E100" si="19">IF(VLOOKUP(G99,$C$32:$E$63,3,FALSE)="","",VLOOKUP(G99,$C$32:$E$63,3,FALSE))</f>
        <v/>
      </c>
      <c r="F99" s="47"/>
      <c r="G99" s="13"/>
      <c r="H99" s="46" t="str">
        <f t="shared" ref="H99:H106" si="20">IFERROR(VLOOKUP(G99,$G$32:$H$63,2,FALSE),"")</f>
        <v/>
      </c>
      <c r="I99" s="47"/>
      <c r="J99" s="15"/>
      <c r="K99" s="49"/>
    </row>
    <row r="100" spans="2:11" ht="22.5" customHeight="1" x14ac:dyDescent="0.3">
      <c r="B100" s="42"/>
      <c r="C100" s="1" t="s">
        <v>2</v>
      </c>
      <c r="D100" s="8" t="str">
        <f t="shared" si="18"/>
        <v/>
      </c>
      <c r="E100" s="46" t="str">
        <f t="shared" si="19"/>
        <v/>
      </c>
      <c r="F100" s="47"/>
      <c r="G100" s="13"/>
      <c r="H100" s="46" t="str">
        <f t="shared" si="20"/>
        <v/>
      </c>
      <c r="I100" s="47"/>
      <c r="J100" s="15"/>
      <c r="K100" s="49"/>
    </row>
    <row r="101" spans="2:11" ht="22.5" customHeight="1" x14ac:dyDescent="0.3">
      <c r="B101" s="42"/>
      <c r="C101" s="2" t="s">
        <v>18</v>
      </c>
      <c r="D101" s="7"/>
      <c r="E101" s="51"/>
      <c r="F101" s="52"/>
      <c r="G101" s="17"/>
      <c r="H101" s="51"/>
      <c r="I101" s="52"/>
      <c r="J101" s="16"/>
      <c r="K101" s="49"/>
    </row>
    <row r="102" spans="2:11" ht="22.5" customHeight="1" x14ac:dyDescent="0.3">
      <c r="B102" s="42"/>
      <c r="C102" s="1" t="s">
        <v>3</v>
      </c>
      <c r="D102" s="8" t="str">
        <f>IF(VLOOKUP(G102,$C$32:$E$63,2,FALSE)="","",VLOOKUP(G102,$C$32:$E$63,2,FALSE))</f>
        <v/>
      </c>
      <c r="E102" s="46" t="str">
        <f>IF(VLOOKUP(G102,$C$32:$E$63,3,FALSE)="","",VLOOKUP(G102,$C$32:$E$63,3,FALSE))</f>
        <v/>
      </c>
      <c r="F102" s="47"/>
      <c r="G102" s="13"/>
      <c r="H102" s="46" t="str">
        <f t="shared" si="20"/>
        <v/>
      </c>
      <c r="I102" s="47"/>
      <c r="J102" s="15"/>
      <c r="K102" s="49"/>
    </row>
    <row r="103" spans="2:11" ht="22.5" customHeight="1" x14ac:dyDescent="0.3">
      <c r="B103" s="42"/>
      <c r="C103" s="1" t="s">
        <v>4</v>
      </c>
      <c r="D103" s="8" t="str">
        <f t="shared" ref="D103:D106" si="21">IF(VLOOKUP(G103,$C$32:$E$63,2,FALSE)="","",VLOOKUP(G103,$C$32:$E$63,2,FALSE))</f>
        <v/>
      </c>
      <c r="E103" s="46" t="str">
        <f t="shared" ref="E103:E106" si="22">IF(VLOOKUP(G103,$C$32:$E$63,3,FALSE)="","",VLOOKUP(G103,$C$32:$E$63,3,FALSE))</f>
        <v/>
      </c>
      <c r="F103" s="47"/>
      <c r="G103" s="13"/>
      <c r="H103" s="46" t="str">
        <f t="shared" si="20"/>
        <v/>
      </c>
      <c r="I103" s="47"/>
      <c r="J103" s="15"/>
      <c r="K103" s="49"/>
    </row>
    <row r="104" spans="2:11" ht="22.5" customHeight="1" x14ac:dyDescent="0.3">
      <c r="B104" s="42"/>
      <c r="C104" s="1" t="s">
        <v>5</v>
      </c>
      <c r="D104" s="8" t="str">
        <f t="shared" si="21"/>
        <v/>
      </c>
      <c r="E104" s="46" t="str">
        <f t="shared" si="22"/>
        <v/>
      </c>
      <c r="F104" s="47"/>
      <c r="G104" s="13"/>
      <c r="H104" s="46" t="str">
        <f t="shared" si="20"/>
        <v/>
      </c>
      <c r="I104" s="47"/>
      <c r="J104" s="15"/>
      <c r="K104" s="49"/>
    </row>
    <row r="105" spans="2:11" ht="22.5" customHeight="1" x14ac:dyDescent="0.3">
      <c r="B105" s="42"/>
      <c r="C105" s="1" t="s">
        <v>6</v>
      </c>
      <c r="D105" s="8" t="str">
        <f t="shared" si="21"/>
        <v/>
      </c>
      <c r="E105" s="46" t="str">
        <f t="shared" si="22"/>
        <v/>
      </c>
      <c r="F105" s="47"/>
      <c r="G105" s="13"/>
      <c r="H105" s="46" t="str">
        <f t="shared" si="20"/>
        <v/>
      </c>
      <c r="I105" s="47"/>
      <c r="J105" s="15"/>
      <c r="K105" s="49"/>
    </row>
    <row r="106" spans="2:11" ht="22.5" customHeight="1" x14ac:dyDescent="0.3">
      <c r="B106" s="43"/>
      <c r="C106" s="1" t="s">
        <v>7</v>
      </c>
      <c r="D106" s="8" t="str">
        <f t="shared" si="21"/>
        <v/>
      </c>
      <c r="E106" s="46" t="str">
        <f t="shared" si="22"/>
        <v/>
      </c>
      <c r="F106" s="47"/>
      <c r="G106" s="13"/>
      <c r="H106" s="46" t="str">
        <f t="shared" si="20"/>
        <v/>
      </c>
      <c r="I106" s="47"/>
      <c r="J106" s="15"/>
      <c r="K106" s="50"/>
    </row>
    <row r="107" spans="2:11" ht="22.5" customHeight="1" x14ac:dyDescent="0.3">
      <c r="B107" s="41" t="s">
        <v>20</v>
      </c>
      <c r="C107" s="5" t="s">
        <v>8</v>
      </c>
      <c r="D107" s="5" t="s">
        <v>10</v>
      </c>
      <c r="E107" s="44" t="s">
        <v>13</v>
      </c>
      <c r="F107" s="45"/>
      <c r="G107" s="12" t="s">
        <v>11</v>
      </c>
      <c r="H107" s="44" t="s">
        <v>12</v>
      </c>
      <c r="I107" s="45"/>
      <c r="J107" s="12" t="s">
        <v>14</v>
      </c>
      <c r="K107" s="12" t="s">
        <v>35</v>
      </c>
    </row>
    <row r="108" spans="2:11" ht="22.5" customHeight="1" x14ac:dyDescent="0.3">
      <c r="B108" s="42"/>
      <c r="C108" s="1" t="s">
        <v>0</v>
      </c>
      <c r="D108" s="8" t="str">
        <f>IF(VLOOKUP(G108,$C$32:$E$63,2,FALSE)="","",VLOOKUP(G108,$C$32:$E$63,2,FALSE))</f>
        <v/>
      </c>
      <c r="E108" s="46" t="str">
        <f>IF(VLOOKUP(G108,$C$32:$E$63,3,FALSE)="","",VLOOKUP(G108,$C$32:$E$63,3,FALSE))</f>
        <v/>
      </c>
      <c r="F108" s="47"/>
      <c r="G108" s="13"/>
      <c r="H108" s="46" t="str">
        <f>IFERROR(VLOOKUP(G108,$G$32:$H$63,2,FALSE),"")</f>
        <v/>
      </c>
      <c r="I108" s="47"/>
      <c r="J108" s="15"/>
      <c r="K108" s="48"/>
    </row>
    <row r="109" spans="2:11" ht="22.5" customHeight="1" x14ac:dyDescent="0.3">
      <c r="B109" s="42"/>
      <c r="C109" s="1" t="s">
        <v>1</v>
      </c>
      <c r="D109" s="8" t="str">
        <f t="shared" ref="D109:D110" si="23">IF(VLOOKUP(G109,$C$32:$E$63,2,FALSE)="","",VLOOKUP(G109,$C$32:$E$63,2,FALSE))</f>
        <v/>
      </c>
      <c r="E109" s="46" t="str">
        <f t="shared" ref="E109:E110" si="24">IF(VLOOKUP(G109,$C$32:$E$63,3,FALSE)="","",VLOOKUP(G109,$C$32:$E$63,3,FALSE))</f>
        <v/>
      </c>
      <c r="F109" s="47"/>
      <c r="G109" s="13"/>
      <c r="H109" s="46" t="str">
        <f t="shared" ref="H109:H116" si="25">IFERROR(VLOOKUP(G109,$G$32:$H$63,2,FALSE),"")</f>
        <v/>
      </c>
      <c r="I109" s="47"/>
      <c r="J109" s="15"/>
      <c r="K109" s="49"/>
    </row>
    <row r="110" spans="2:11" ht="22.5" customHeight="1" x14ac:dyDescent="0.3">
      <c r="B110" s="42"/>
      <c r="C110" s="1" t="s">
        <v>2</v>
      </c>
      <c r="D110" s="8" t="str">
        <f t="shared" si="23"/>
        <v/>
      </c>
      <c r="E110" s="46" t="str">
        <f t="shared" si="24"/>
        <v/>
      </c>
      <c r="F110" s="47"/>
      <c r="G110" s="13"/>
      <c r="H110" s="46" t="str">
        <f t="shared" si="25"/>
        <v/>
      </c>
      <c r="I110" s="47"/>
      <c r="J110" s="15"/>
      <c r="K110" s="49"/>
    </row>
    <row r="111" spans="2:11" ht="22.5" customHeight="1" x14ac:dyDescent="0.3">
      <c r="B111" s="42"/>
      <c r="C111" s="2" t="s">
        <v>18</v>
      </c>
      <c r="D111" s="7"/>
      <c r="E111" s="51"/>
      <c r="F111" s="52"/>
      <c r="G111" s="17"/>
      <c r="H111" s="51"/>
      <c r="I111" s="52"/>
      <c r="J111" s="16"/>
      <c r="K111" s="49"/>
    </row>
    <row r="112" spans="2:11" ht="22.5" customHeight="1" x14ac:dyDescent="0.3">
      <c r="B112" s="42"/>
      <c r="C112" s="1" t="s">
        <v>3</v>
      </c>
      <c r="D112" s="8" t="str">
        <f>IF(VLOOKUP(G112,$C$32:$E$63,2,FALSE)="","",VLOOKUP(G112,$C$32:$E$63,2,FALSE))</f>
        <v/>
      </c>
      <c r="E112" s="46" t="str">
        <f>IF(VLOOKUP(G112,$C$32:$E$63,3,FALSE)="","",VLOOKUP(G112,$C$32:$E$63,3,FALSE))</f>
        <v/>
      </c>
      <c r="F112" s="47"/>
      <c r="G112" s="13"/>
      <c r="H112" s="46" t="str">
        <f t="shared" si="25"/>
        <v/>
      </c>
      <c r="I112" s="47"/>
      <c r="J112" s="15"/>
      <c r="K112" s="49"/>
    </row>
    <row r="113" spans="2:11" ht="22.5" customHeight="1" x14ac:dyDescent="0.3">
      <c r="B113" s="42"/>
      <c r="C113" s="1" t="s">
        <v>4</v>
      </c>
      <c r="D113" s="8" t="str">
        <f t="shared" ref="D113:D116" si="26">IF(VLOOKUP(G113,$C$32:$E$63,2,FALSE)="","",VLOOKUP(G113,$C$32:$E$63,2,FALSE))</f>
        <v/>
      </c>
      <c r="E113" s="46" t="str">
        <f t="shared" ref="E113:E116" si="27">IF(VLOOKUP(G113,$C$32:$E$63,3,FALSE)="","",VLOOKUP(G113,$C$32:$E$63,3,FALSE))</f>
        <v/>
      </c>
      <c r="F113" s="47"/>
      <c r="G113" s="13"/>
      <c r="H113" s="46" t="str">
        <f t="shared" si="25"/>
        <v/>
      </c>
      <c r="I113" s="47"/>
      <c r="J113" s="15"/>
      <c r="K113" s="49"/>
    </row>
    <row r="114" spans="2:11" ht="22.5" customHeight="1" x14ac:dyDescent="0.3">
      <c r="B114" s="42"/>
      <c r="C114" s="1" t="s">
        <v>5</v>
      </c>
      <c r="D114" s="8" t="str">
        <f t="shared" si="26"/>
        <v/>
      </c>
      <c r="E114" s="46" t="str">
        <f t="shared" si="27"/>
        <v/>
      </c>
      <c r="F114" s="47"/>
      <c r="G114" s="13"/>
      <c r="H114" s="46" t="str">
        <f t="shared" si="25"/>
        <v/>
      </c>
      <c r="I114" s="47"/>
      <c r="J114" s="15"/>
      <c r="K114" s="49"/>
    </row>
    <row r="115" spans="2:11" ht="22.5" customHeight="1" x14ac:dyDescent="0.3">
      <c r="B115" s="42"/>
      <c r="C115" s="1" t="s">
        <v>6</v>
      </c>
      <c r="D115" s="8" t="str">
        <f t="shared" si="26"/>
        <v/>
      </c>
      <c r="E115" s="46" t="str">
        <f t="shared" si="27"/>
        <v/>
      </c>
      <c r="F115" s="47"/>
      <c r="G115" s="13"/>
      <c r="H115" s="46" t="str">
        <f t="shared" si="25"/>
        <v/>
      </c>
      <c r="I115" s="47"/>
      <c r="J115" s="15"/>
      <c r="K115" s="49"/>
    </row>
    <row r="116" spans="2:11" ht="22.5" customHeight="1" x14ac:dyDescent="0.3">
      <c r="B116" s="43"/>
      <c r="C116" s="1" t="s">
        <v>7</v>
      </c>
      <c r="D116" s="8" t="str">
        <f t="shared" si="26"/>
        <v/>
      </c>
      <c r="E116" s="46" t="str">
        <f t="shared" si="27"/>
        <v/>
      </c>
      <c r="F116" s="47"/>
      <c r="G116" s="13"/>
      <c r="H116" s="46" t="str">
        <f t="shared" si="25"/>
        <v/>
      </c>
      <c r="I116" s="47"/>
      <c r="J116" s="15"/>
      <c r="K116" s="5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B87:B96"/>
    <mergeCell ref="E87:F87"/>
    <mergeCell ref="H87:I87"/>
    <mergeCell ref="E88:F88"/>
    <mergeCell ref="H88:I88"/>
    <mergeCell ref="H93:I93"/>
    <mergeCell ref="E94:F94"/>
    <mergeCell ref="H94:I94"/>
    <mergeCell ref="E95:F95"/>
    <mergeCell ref="H95:I95"/>
    <mergeCell ref="E96:F96"/>
    <mergeCell ref="H96:I96"/>
    <mergeCell ref="K88:K96"/>
    <mergeCell ref="E89:F89"/>
    <mergeCell ref="H89:I89"/>
    <mergeCell ref="E90:F90"/>
    <mergeCell ref="H90:I90"/>
    <mergeCell ref="E91:F91"/>
    <mergeCell ref="H91:I91"/>
    <mergeCell ref="E92:F92"/>
    <mergeCell ref="H92:I92"/>
    <mergeCell ref="E93:F9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7BFB083-0FF9-47E7-92F0-433A5079BC60}">
          <x14:formula1>
            <xm:f>통합!$A$3:$A$44</xm:f>
          </x14:formula1>
          <xm:sqref>J32:J63 C2:I2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3FFF-64A2-43EC-A69E-565999EA435F}">
  <dimension ref="A1:P130"/>
  <sheetViews>
    <sheetView tabSelected="1" topLeftCell="A22"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357</v>
      </c>
      <c r="D2" s="53"/>
      <c r="E2" s="53"/>
      <c r="F2" s="53"/>
      <c r="G2" s="53"/>
      <c r="H2" s="53"/>
      <c r="I2" s="54"/>
      <c r="J2" s="55"/>
      <c r="K2" s="55"/>
      <c r="L2" s="10"/>
      <c r="M2" s="10"/>
      <c r="N2" s="10"/>
      <c r="O2" s="10"/>
      <c r="P2" s="10"/>
    </row>
    <row r="3" spans="1:16" ht="21.75" customHeight="1" x14ac:dyDescent="0.3">
      <c r="A3" s="11" t="s">
        <v>180</v>
      </c>
      <c r="B3" s="4" t="s">
        <v>23</v>
      </c>
      <c r="C3" s="53" t="s">
        <v>241</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04.의료기기연구개발</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01.의료기기 연구개발기획</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1903090401_21v2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5</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244</v>
      </c>
      <c r="D13" s="53"/>
      <c r="E13" s="53"/>
      <c r="F13" s="53"/>
      <c r="G13" s="53"/>
      <c r="H13" s="53"/>
      <c r="I13" s="54"/>
      <c r="J13" s="55" t="s">
        <v>37</v>
      </c>
      <c r="K13" s="55"/>
      <c r="L13" s="10"/>
      <c r="M13" s="10"/>
      <c r="N13" s="10"/>
      <c r="O13" s="10"/>
      <c r="P13" s="10"/>
    </row>
    <row r="14" spans="1:16" ht="21.75" customHeight="1" x14ac:dyDescent="0.3">
      <c r="A14" s="11" t="s">
        <v>234</v>
      </c>
      <c r="B14" s="4" t="s">
        <v>235</v>
      </c>
      <c r="C14" s="53" t="s">
        <v>245</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247</v>
      </c>
      <c r="D16" s="53"/>
      <c r="E16" s="53"/>
      <c r="F16" s="53"/>
      <c r="G16" s="53"/>
      <c r="H16" s="53"/>
      <c r="I16" s="54"/>
      <c r="J16" s="55" t="s">
        <v>191</v>
      </c>
      <c r="K16" s="55"/>
      <c r="L16" s="10"/>
      <c r="M16" s="10"/>
      <c r="N16" s="10"/>
      <c r="O16" s="10"/>
      <c r="P16" s="10"/>
    </row>
    <row r="17" spans="1:16" ht="48.75" customHeight="1" x14ac:dyDescent="0.3">
      <c r="A17" s="11" t="s">
        <v>182</v>
      </c>
      <c r="B17" s="4" t="s">
        <v>217</v>
      </c>
      <c r="C17" s="53" t="s">
        <v>248</v>
      </c>
      <c r="D17" s="53"/>
      <c r="E17" s="53"/>
      <c r="F17" s="53"/>
      <c r="G17" s="53"/>
      <c r="H17" s="53"/>
      <c r="I17" s="54"/>
      <c r="J17" s="55" t="s">
        <v>181</v>
      </c>
      <c r="K17" s="55"/>
      <c r="L17" s="10"/>
      <c r="M17" s="10"/>
      <c r="N17" s="10"/>
      <c r="O17" s="10"/>
      <c r="P17" s="10"/>
    </row>
    <row r="18" spans="1:16" ht="48.75" customHeight="1" x14ac:dyDescent="0.3">
      <c r="A18" s="11" t="s">
        <v>194</v>
      </c>
      <c r="B18" s="4" t="s">
        <v>218</v>
      </c>
      <c r="C18" s="53" t="s">
        <v>249</v>
      </c>
      <c r="D18" s="53"/>
      <c r="E18" s="53"/>
      <c r="F18" s="53"/>
      <c r="G18" s="53"/>
      <c r="H18" s="53"/>
      <c r="I18" s="54"/>
      <c r="J18" s="55" t="s">
        <v>181</v>
      </c>
      <c r="K18" s="55"/>
      <c r="L18" s="10"/>
      <c r="M18" s="10"/>
      <c r="N18" s="10"/>
      <c r="O18" s="10"/>
      <c r="P18" s="10"/>
    </row>
    <row r="19" spans="1:16" ht="44.25" customHeight="1" x14ac:dyDescent="0.3">
      <c r="A19" s="11" t="s">
        <v>221</v>
      </c>
      <c r="B19" s="4" t="s">
        <v>22</v>
      </c>
      <c r="C19" s="57" t="s">
        <v>250</v>
      </c>
      <c r="D19" s="53"/>
      <c r="E19" s="53"/>
      <c r="F19" s="53"/>
      <c r="G19" s="53"/>
      <c r="H19" s="53"/>
      <c r="I19" s="54"/>
      <c r="J19" s="55" t="s">
        <v>39</v>
      </c>
      <c r="K19" s="55"/>
      <c r="L19" s="10"/>
      <c r="M19" s="10"/>
      <c r="N19" s="10"/>
      <c r="O19" s="10"/>
      <c r="P19" s="10"/>
    </row>
    <row r="20" spans="1:16" ht="28.5" customHeight="1" x14ac:dyDescent="0.3">
      <c r="A20" s="11" t="s">
        <v>224</v>
      </c>
      <c r="B20" s="4" t="s">
        <v>25</v>
      </c>
      <c r="C20" s="53" t="s">
        <v>251</v>
      </c>
      <c r="D20" s="53"/>
      <c r="E20" s="53"/>
      <c r="F20" s="53"/>
      <c r="G20" s="53"/>
      <c r="H20" s="53"/>
      <c r="I20" s="54"/>
      <c r="J20" s="55" t="s">
        <v>40</v>
      </c>
      <c r="K20" s="55"/>
      <c r="L20" s="10"/>
      <c r="M20" s="10"/>
      <c r="N20" s="10"/>
      <c r="O20" s="10"/>
      <c r="P20" s="10"/>
    </row>
    <row r="21" spans="1:16" ht="78" customHeight="1" x14ac:dyDescent="0.3">
      <c r="A21" s="11" t="s">
        <v>225</v>
      </c>
      <c r="B21" s="4" t="s">
        <v>27</v>
      </c>
      <c r="C21" s="57" t="s">
        <v>252</v>
      </c>
      <c r="D21" s="53"/>
      <c r="E21" s="53"/>
      <c r="F21" s="53"/>
      <c r="G21" s="53"/>
      <c r="H21" s="53"/>
      <c r="I21" s="54"/>
      <c r="J21" s="55" t="s">
        <v>41</v>
      </c>
      <c r="K21" s="55"/>
      <c r="L21" s="10"/>
      <c r="M21" s="10"/>
      <c r="N21" s="10"/>
      <c r="O21" s="10"/>
      <c r="P21" s="10"/>
    </row>
    <row r="22" spans="1:16" ht="62.25" customHeight="1" x14ac:dyDescent="0.3">
      <c r="A22" s="11" t="s">
        <v>226</v>
      </c>
      <c r="B22" s="58" t="s">
        <v>28</v>
      </c>
      <c r="C22" s="57" t="s">
        <v>253</v>
      </c>
      <c r="D22" s="53"/>
      <c r="E22" s="53"/>
      <c r="F22" s="53"/>
      <c r="G22" s="53"/>
      <c r="H22" s="53"/>
      <c r="I22" s="54"/>
      <c r="J22" s="55" t="s">
        <v>229</v>
      </c>
      <c r="K22" s="55"/>
      <c r="L22" s="10"/>
      <c r="M22" s="10"/>
      <c r="N22" s="10"/>
      <c r="O22" s="10"/>
      <c r="P22" s="10"/>
    </row>
    <row r="23" spans="1:16" ht="62.25" customHeight="1" x14ac:dyDescent="0.3">
      <c r="A23" s="11" t="s">
        <v>227</v>
      </c>
      <c r="B23" s="58"/>
      <c r="C23" s="57" t="s">
        <v>254</v>
      </c>
      <c r="D23" s="53"/>
      <c r="E23" s="53"/>
      <c r="F23" s="53"/>
      <c r="G23" s="53"/>
      <c r="H23" s="53"/>
      <c r="I23" s="54"/>
      <c r="J23" s="55" t="s">
        <v>230</v>
      </c>
      <c r="K23" s="55"/>
      <c r="L23" s="10"/>
      <c r="M23" s="10"/>
      <c r="N23" s="10"/>
      <c r="O23" s="10"/>
      <c r="P23" s="10"/>
    </row>
    <row r="24" spans="1:16" ht="62.25" customHeight="1" x14ac:dyDescent="0.3">
      <c r="A24" s="11" t="s">
        <v>228</v>
      </c>
      <c r="B24" s="58"/>
      <c r="C24" s="57" t="s">
        <v>255</v>
      </c>
      <c r="D24" s="53"/>
      <c r="E24" s="53"/>
      <c r="F24" s="53"/>
      <c r="G24" s="53"/>
      <c r="H24" s="53"/>
      <c r="I24" s="54"/>
      <c r="J24" s="55" t="s">
        <v>231</v>
      </c>
      <c r="K24" s="55"/>
      <c r="L24" s="10"/>
      <c r="M24" s="10"/>
      <c r="N24" s="10"/>
      <c r="O24" s="10"/>
      <c r="P24" s="10"/>
    </row>
    <row r="25" spans="1:16" ht="83.25" customHeight="1" x14ac:dyDescent="0.3">
      <c r="A25" s="11" t="s">
        <v>232</v>
      </c>
      <c r="B25" s="6" t="s">
        <v>29</v>
      </c>
      <c r="C25" s="57" t="s">
        <v>256</v>
      </c>
      <c r="D25" s="53"/>
      <c r="E25" s="53"/>
      <c r="F25" s="53"/>
      <c r="G25" s="53"/>
      <c r="H25" s="53"/>
      <c r="I25" s="54"/>
      <c r="J25" s="55" t="s">
        <v>45</v>
      </c>
      <c r="K25" s="55"/>
      <c r="L25" s="10"/>
      <c r="M25" s="10"/>
      <c r="N25" s="10"/>
      <c r="O25" s="10"/>
      <c r="P25" s="10"/>
    </row>
    <row r="26" spans="1:16" ht="47.25" customHeight="1" x14ac:dyDescent="0.3">
      <c r="A26" s="11" t="s">
        <v>237</v>
      </c>
      <c r="B26" s="6" t="s">
        <v>46</v>
      </c>
      <c r="C26" s="57" t="s">
        <v>257</v>
      </c>
      <c r="D26" s="53"/>
      <c r="E26" s="53"/>
      <c r="F26" s="53"/>
      <c r="G26" s="53"/>
      <c r="H26" s="53"/>
      <c r="I26" s="54"/>
      <c r="J26" s="55" t="s">
        <v>47</v>
      </c>
      <c r="K26" s="55"/>
      <c r="L26" s="10"/>
      <c r="M26" s="10"/>
      <c r="N26" s="10"/>
      <c r="O26" s="10"/>
      <c r="P26" s="10"/>
    </row>
    <row r="27" spans="1:16" ht="29.25" customHeight="1" x14ac:dyDescent="0.3">
      <c r="A27" s="11" t="s">
        <v>233</v>
      </c>
      <c r="B27" s="4" t="s">
        <v>26</v>
      </c>
      <c r="C27" s="53" t="s">
        <v>358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364</v>
      </c>
      <c r="D29" s="53"/>
      <c r="E29" s="53"/>
      <c r="F29" s="53"/>
      <c r="G29" s="53"/>
      <c r="H29" s="53"/>
      <c r="I29" s="54"/>
      <c r="J29" s="55" t="s">
        <v>360</v>
      </c>
      <c r="K29" s="55"/>
      <c r="L29" s="10"/>
      <c r="M29" s="10"/>
      <c r="N29" s="10"/>
      <c r="O29" s="10"/>
      <c r="P29" s="10"/>
    </row>
    <row r="30" spans="1:16" ht="93.75" customHeight="1" x14ac:dyDescent="0.3">
      <c r="A30" s="11" t="s">
        <v>382</v>
      </c>
      <c r="B30" s="40" t="s">
        <v>361</v>
      </c>
      <c r="C30" s="57" t="s">
        <v>365</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49AD4D8-CBC3-4AE4-8AAD-108467FED434}">
          <x14:formula1>
            <xm:f>통합!$A$3:$A$44</xm:f>
          </x14:formula1>
          <xm:sqref>J34:J65 C2:I2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7571-F366-42BF-9A1A-E962A6565D15}">
  <dimension ref="A1:P130"/>
  <sheetViews>
    <sheetView topLeftCell="A21"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258</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259</v>
      </c>
      <c r="D13" s="53"/>
      <c r="E13" s="53"/>
      <c r="F13" s="53"/>
      <c r="G13" s="53"/>
      <c r="H13" s="53"/>
      <c r="I13" s="54"/>
      <c r="J13" s="55" t="s">
        <v>37</v>
      </c>
      <c r="K13" s="55"/>
      <c r="L13" s="10"/>
      <c r="M13" s="10"/>
      <c r="N13" s="10"/>
      <c r="O13" s="10"/>
      <c r="P13" s="10"/>
    </row>
    <row r="14" spans="1:16" ht="21.75" customHeight="1" x14ac:dyDescent="0.3">
      <c r="A14" s="11" t="s">
        <v>234</v>
      </c>
      <c r="B14" s="4" t="s">
        <v>235</v>
      </c>
      <c r="C14" s="53" t="s">
        <v>245</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260</v>
      </c>
      <c r="D16" s="53"/>
      <c r="E16" s="53"/>
      <c r="F16" s="53"/>
      <c r="G16" s="53"/>
      <c r="H16" s="53"/>
      <c r="I16" s="54"/>
      <c r="J16" s="55" t="s">
        <v>191</v>
      </c>
      <c r="K16" s="55"/>
      <c r="L16" s="10"/>
      <c r="M16" s="10"/>
      <c r="N16" s="10"/>
      <c r="O16" s="10"/>
      <c r="P16" s="10"/>
    </row>
    <row r="17" spans="1:16" ht="48.75" customHeight="1" x14ac:dyDescent="0.3">
      <c r="A17" s="11" t="s">
        <v>182</v>
      </c>
      <c r="B17" s="4" t="s">
        <v>217</v>
      </c>
      <c r="C17" s="53" t="s">
        <v>261</v>
      </c>
      <c r="D17" s="53"/>
      <c r="E17" s="53"/>
      <c r="F17" s="53"/>
      <c r="G17" s="53"/>
      <c r="H17" s="53"/>
      <c r="I17" s="54"/>
      <c r="J17" s="55" t="s">
        <v>181</v>
      </c>
      <c r="K17" s="55"/>
      <c r="L17" s="10"/>
      <c r="M17" s="10"/>
      <c r="N17" s="10"/>
      <c r="O17" s="10"/>
      <c r="P17" s="10"/>
    </row>
    <row r="18" spans="1:16" ht="48.75" customHeight="1" x14ac:dyDescent="0.3">
      <c r="A18" s="11" t="s">
        <v>194</v>
      </c>
      <c r="B18" s="4" t="s">
        <v>218</v>
      </c>
      <c r="C18" s="53" t="s">
        <v>262</v>
      </c>
      <c r="D18" s="53"/>
      <c r="E18" s="53"/>
      <c r="F18" s="53"/>
      <c r="G18" s="53"/>
      <c r="H18" s="53"/>
      <c r="I18" s="54"/>
      <c r="J18" s="55" t="s">
        <v>181</v>
      </c>
      <c r="K18" s="55"/>
      <c r="L18" s="10"/>
      <c r="M18" s="10"/>
      <c r="N18" s="10"/>
      <c r="O18" s="10"/>
      <c r="P18" s="10"/>
    </row>
    <row r="19" spans="1:16" ht="44.25" customHeight="1" x14ac:dyDescent="0.3">
      <c r="A19" s="11" t="s">
        <v>221</v>
      </c>
      <c r="B19" s="4" t="s">
        <v>22</v>
      </c>
      <c r="C19" s="57" t="s">
        <v>263</v>
      </c>
      <c r="D19" s="53"/>
      <c r="E19" s="53"/>
      <c r="F19" s="53"/>
      <c r="G19" s="53"/>
      <c r="H19" s="53"/>
      <c r="I19" s="54"/>
      <c r="J19" s="55" t="s">
        <v>39</v>
      </c>
      <c r="K19" s="55"/>
      <c r="L19" s="10"/>
      <c r="M19" s="10"/>
      <c r="N19" s="10"/>
      <c r="O19" s="10"/>
      <c r="P19" s="10"/>
    </row>
    <row r="20" spans="1:16" ht="28.5" customHeight="1" x14ac:dyDescent="0.3">
      <c r="A20" s="11" t="s">
        <v>224</v>
      </c>
      <c r="B20" s="4" t="s">
        <v>25</v>
      </c>
      <c r="C20" s="53" t="s">
        <v>264</v>
      </c>
      <c r="D20" s="53"/>
      <c r="E20" s="53"/>
      <c r="F20" s="53"/>
      <c r="G20" s="53"/>
      <c r="H20" s="53"/>
      <c r="I20" s="54"/>
      <c r="J20" s="55" t="s">
        <v>40</v>
      </c>
      <c r="K20" s="55"/>
      <c r="L20" s="10"/>
      <c r="M20" s="10"/>
      <c r="N20" s="10"/>
      <c r="O20" s="10"/>
      <c r="P20" s="10"/>
    </row>
    <row r="21" spans="1:16" ht="78" customHeight="1" x14ac:dyDescent="0.3">
      <c r="A21" s="11" t="s">
        <v>225</v>
      </c>
      <c r="B21" s="4" t="s">
        <v>27</v>
      </c>
      <c r="C21" s="57" t="s">
        <v>265</v>
      </c>
      <c r="D21" s="53"/>
      <c r="E21" s="53"/>
      <c r="F21" s="53"/>
      <c r="G21" s="53"/>
      <c r="H21" s="53"/>
      <c r="I21" s="54"/>
      <c r="J21" s="55" t="s">
        <v>41</v>
      </c>
      <c r="K21" s="55"/>
      <c r="L21" s="10"/>
      <c r="M21" s="10"/>
      <c r="N21" s="10"/>
      <c r="O21" s="10"/>
      <c r="P21" s="10"/>
    </row>
    <row r="22" spans="1:16" ht="62.25" customHeight="1" x14ac:dyDescent="0.3">
      <c r="A22" s="11" t="s">
        <v>226</v>
      </c>
      <c r="B22" s="58" t="s">
        <v>28</v>
      </c>
      <c r="C22" s="57" t="s">
        <v>266</v>
      </c>
      <c r="D22" s="53"/>
      <c r="E22" s="53"/>
      <c r="F22" s="53"/>
      <c r="G22" s="53"/>
      <c r="H22" s="53"/>
      <c r="I22" s="54"/>
      <c r="J22" s="55" t="s">
        <v>229</v>
      </c>
      <c r="K22" s="55"/>
      <c r="L22" s="10"/>
      <c r="M22" s="10"/>
      <c r="N22" s="10"/>
      <c r="O22" s="10"/>
      <c r="P22" s="10"/>
    </row>
    <row r="23" spans="1:16" ht="62.25" customHeight="1" x14ac:dyDescent="0.3">
      <c r="A23" s="11" t="s">
        <v>227</v>
      </c>
      <c r="B23" s="58"/>
      <c r="C23" s="57" t="s">
        <v>267</v>
      </c>
      <c r="D23" s="53"/>
      <c r="E23" s="53"/>
      <c r="F23" s="53"/>
      <c r="G23" s="53"/>
      <c r="H23" s="53"/>
      <c r="I23" s="54"/>
      <c r="J23" s="55" t="s">
        <v>230</v>
      </c>
      <c r="K23" s="55"/>
      <c r="L23" s="10"/>
      <c r="M23" s="10"/>
      <c r="N23" s="10"/>
      <c r="O23" s="10"/>
      <c r="P23" s="10"/>
    </row>
    <row r="24" spans="1:16" ht="62.25" customHeight="1" x14ac:dyDescent="0.3">
      <c r="A24" s="11" t="s">
        <v>228</v>
      </c>
      <c r="B24" s="58"/>
      <c r="C24" s="57" t="s">
        <v>268</v>
      </c>
      <c r="D24" s="53"/>
      <c r="E24" s="53"/>
      <c r="F24" s="53"/>
      <c r="G24" s="53"/>
      <c r="H24" s="53"/>
      <c r="I24" s="54"/>
      <c r="J24" s="55" t="s">
        <v>231</v>
      </c>
      <c r="K24" s="55"/>
      <c r="L24" s="10"/>
      <c r="M24" s="10"/>
      <c r="N24" s="10"/>
      <c r="O24" s="10"/>
      <c r="P24" s="10"/>
    </row>
    <row r="25" spans="1:16" ht="83.25" customHeight="1" x14ac:dyDescent="0.3">
      <c r="A25" s="11" t="s">
        <v>232</v>
      </c>
      <c r="B25" s="6" t="s">
        <v>29</v>
      </c>
      <c r="C25" s="57" t="s">
        <v>269</v>
      </c>
      <c r="D25" s="53"/>
      <c r="E25" s="53"/>
      <c r="F25" s="53"/>
      <c r="G25" s="53"/>
      <c r="H25" s="53"/>
      <c r="I25" s="54"/>
      <c r="J25" s="55" t="s">
        <v>45</v>
      </c>
      <c r="K25" s="55"/>
      <c r="L25" s="10"/>
      <c r="M25" s="10"/>
      <c r="N25" s="10"/>
      <c r="O25" s="10"/>
      <c r="P25" s="10"/>
    </row>
    <row r="26" spans="1:16" ht="47.25" customHeight="1" x14ac:dyDescent="0.3">
      <c r="A26" s="11" t="s">
        <v>237</v>
      </c>
      <c r="B26" s="6" t="s">
        <v>46</v>
      </c>
      <c r="C26" s="57" t="s">
        <v>270</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366</v>
      </c>
      <c r="D29" s="53"/>
      <c r="E29" s="53"/>
      <c r="F29" s="53"/>
      <c r="G29" s="53"/>
      <c r="H29" s="53"/>
      <c r="I29" s="54"/>
      <c r="J29" s="55" t="s">
        <v>360</v>
      </c>
      <c r="K29" s="55"/>
      <c r="L29" s="10"/>
      <c r="M29" s="10"/>
      <c r="N29" s="10"/>
      <c r="O29" s="10"/>
      <c r="P29" s="10"/>
    </row>
    <row r="30" spans="1:16" ht="93.75" customHeight="1" x14ac:dyDescent="0.3">
      <c r="A30" s="11" t="s">
        <v>382</v>
      </c>
      <c r="B30" s="40" t="s">
        <v>361</v>
      </c>
      <c r="C30" s="57" t="s">
        <v>367</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71F0522-8B7E-4AEF-9E95-C3DED3107DEE}">
          <x14:formula1>
            <xm:f>통합!$A$3:$A$44</xm:f>
          </x14:formula1>
          <xm:sqref>J34:J65 C2:I2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8CD-7643-4F52-A22C-532DA1061416}">
  <dimension ref="A1:P130"/>
  <sheetViews>
    <sheetView topLeftCell="A22"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271</v>
      </c>
      <c r="D3" s="53"/>
      <c r="E3" s="53"/>
      <c r="F3" s="53"/>
      <c r="G3" s="53"/>
      <c r="H3" s="53"/>
      <c r="I3" s="54"/>
      <c r="J3" s="55" t="s">
        <v>238</v>
      </c>
      <c r="K3" s="55"/>
      <c r="L3" s="10"/>
      <c r="M3" s="10"/>
      <c r="N3" s="10"/>
      <c r="O3" s="10"/>
      <c r="P3" s="10"/>
    </row>
    <row r="4" spans="1:16" ht="169.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272</v>
      </c>
      <c r="D13" s="53"/>
      <c r="E13" s="53"/>
      <c r="F13" s="53"/>
      <c r="G13" s="53"/>
      <c r="H13" s="53"/>
      <c r="I13" s="54"/>
      <c r="J13" s="55" t="s">
        <v>37</v>
      </c>
      <c r="K13" s="55"/>
      <c r="L13" s="10"/>
      <c r="M13" s="10"/>
      <c r="N13" s="10"/>
      <c r="O13" s="10"/>
      <c r="P13" s="10"/>
    </row>
    <row r="14" spans="1:16" ht="21.75" customHeight="1" x14ac:dyDescent="0.3">
      <c r="A14" s="11" t="s">
        <v>234</v>
      </c>
      <c r="B14" s="4" t="s">
        <v>235</v>
      </c>
      <c r="C14" s="53" t="s">
        <v>245</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273</v>
      </c>
      <c r="D16" s="53"/>
      <c r="E16" s="53"/>
      <c r="F16" s="53"/>
      <c r="G16" s="53"/>
      <c r="H16" s="53"/>
      <c r="I16" s="54"/>
      <c r="J16" s="55" t="s">
        <v>191</v>
      </c>
      <c r="K16" s="55"/>
      <c r="L16" s="10"/>
      <c r="M16" s="10"/>
      <c r="N16" s="10"/>
      <c r="O16" s="10"/>
      <c r="P16" s="10"/>
    </row>
    <row r="17" spans="1:16" ht="48.75" customHeight="1" x14ac:dyDescent="0.3">
      <c r="A17" s="11" t="s">
        <v>182</v>
      </c>
      <c r="B17" s="4" t="s">
        <v>217</v>
      </c>
      <c r="C17" s="53" t="s">
        <v>274</v>
      </c>
      <c r="D17" s="53"/>
      <c r="E17" s="53"/>
      <c r="F17" s="53"/>
      <c r="G17" s="53"/>
      <c r="H17" s="53"/>
      <c r="I17" s="54"/>
      <c r="J17" s="55" t="s">
        <v>181</v>
      </c>
      <c r="K17" s="55"/>
      <c r="L17" s="10"/>
      <c r="M17" s="10"/>
      <c r="N17" s="10"/>
      <c r="O17" s="10"/>
      <c r="P17" s="10"/>
    </row>
    <row r="18" spans="1:16" ht="48.75" customHeight="1" x14ac:dyDescent="0.3">
      <c r="A18" s="11" t="s">
        <v>194</v>
      </c>
      <c r="B18" s="4" t="s">
        <v>218</v>
      </c>
      <c r="C18" s="53" t="s">
        <v>275</v>
      </c>
      <c r="D18" s="53"/>
      <c r="E18" s="53"/>
      <c r="F18" s="53"/>
      <c r="G18" s="53"/>
      <c r="H18" s="53"/>
      <c r="I18" s="54"/>
      <c r="J18" s="55" t="s">
        <v>181</v>
      </c>
      <c r="K18" s="55"/>
      <c r="L18" s="10"/>
      <c r="M18" s="10"/>
      <c r="N18" s="10"/>
      <c r="O18" s="10"/>
      <c r="P18" s="10"/>
    </row>
    <row r="19" spans="1:16" ht="44.25" customHeight="1" x14ac:dyDescent="0.3">
      <c r="A19" s="11" t="s">
        <v>221</v>
      </c>
      <c r="B19" s="4" t="s">
        <v>22</v>
      </c>
      <c r="C19" s="57" t="s">
        <v>276</v>
      </c>
      <c r="D19" s="53"/>
      <c r="E19" s="53"/>
      <c r="F19" s="53"/>
      <c r="G19" s="53"/>
      <c r="H19" s="53"/>
      <c r="I19" s="54"/>
      <c r="J19" s="55" t="s">
        <v>39</v>
      </c>
      <c r="K19" s="55"/>
      <c r="L19" s="10"/>
      <c r="M19" s="10"/>
      <c r="N19" s="10"/>
      <c r="O19" s="10"/>
      <c r="P19" s="10"/>
    </row>
    <row r="20" spans="1:16" ht="28.5" customHeight="1" x14ac:dyDescent="0.3">
      <c r="A20" s="11" t="s">
        <v>224</v>
      </c>
      <c r="B20" s="4" t="s">
        <v>25</v>
      </c>
      <c r="C20" s="53" t="s">
        <v>277</v>
      </c>
      <c r="D20" s="53"/>
      <c r="E20" s="53"/>
      <c r="F20" s="53"/>
      <c r="G20" s="53"/>
      <c r="H20" s="53"/>
      <c r="I20" s="54"/>
      <c r="J20" s="55" t="s">
        <v>40</v>
      </c>
      <c r="K20" s="55"/>
      <c r="L20" s="10"/>
      <c r="M20" s="10"/>
      <c r="N20" s="10"/>
      <c r="O20" s="10"/>
      <c r="P20" s="10"/>
    </row>
    <row r="21" spans="1:16" ht="78" customHeight="1" x14ac:dyDescent="0.3">
      <c r="A21" s="11" t="s">
        <v>225</v>
      </c>
      <c r="B21" s="4" t="s">
        <v>27</v>
      </c>
      <c r="C21" s="57" t="s">
        <v>278</v>
      </c>
      <c r="D21" s="53"/>
      <c r="E21" s="53"/>
      <c r="F21" s="53"/>
      <c r="G21" s="53"/>
      <c r="H21" s="53"/>
      <c r="I21" s="54"/>
      <c r="J21" s="55" t="s">
        <v>41</v>
      </c>
      <c r="K21" s="55"/>
      <c r="L21" s="10"/>
      <c r="M21" s="10"/>
      <c r="N21" s="10"/>
      <c r="O21" s="10"/>
      <c r="P21" s="10"/>
    </row>
    <row r="22" spans="1:16" ht="62.25" customHeight="1" x14ac:dyDescent="0.3">
      <c r="A22" s="11" t="s">
        <v>226</v>
      </c>
      <c r="B22" s="58" t="s">
        <v>28</v>
      </c>
      <c r="C22" s="57" t="s">
        <v>279</v>
      </c>
      <c r="D22" s="53"/>
      <c r="E22" s="53"/>
      <c r="F22" s="53"/>
      <c r="G22" s="53"/>
      <c r="H22" s="53"/>
      <c r="I22" s="54"/>
      <c r="J22" s="55" t="s">
        <v>229</v>
      </c>
      <c r="K22" s="55"/>
      <c r="L22" s="10"/>
      <c r="M22" s="10"/>
      <c r="N22" s="10"/>
      <c r="O22" s="10"/>
      <c r="P22" s="10"/>
    </row>
    <row r="23" spans="1:16" ht="62.25" customHeight="1" x14ac:dyDescent="0.3">
      <c r="A23" s="11" t="s">
        <v>227</v>
      </c>
      <c r="B23" s="58"/>
      <c r="C23" s="57" t="s">
        <v>280</v>
      </c>
      <c r="D23" s="53"/>
      <c r="E23" s="53"/>
      <c r="F23" s="53"/>
      <c r="G23" s="53"/>
      <c r="H23" s="53"/>
      <c r="I23" s="54"/>
      <c r="J23" s="55" t="s">
        <v>230</v>
      </c>
      <c r="K23" s="55"/>
      <c r="L23" s="10"/>
      <c r="M23" s="10"/>
      <c r="N23" s="10"/>
      <c r="O23" s="10"/>
      <c r="P23" s="10"/>
    </row>
    <row r="24" spans="1:16" ht="62.25" customHeight="1" x14ac:dyDescent="0.3">
      <c r="A24" s="11" t="s">
        <v>228</v>
      </c>
      <c r="B24" s="58"/>
      <c r="C24" s="57" t="s">
        <v>281</v>
      </c>
      <c r="D24" s="53"/>
      <c r="E24" s="53"/>
      <c r="F24" s="53"/>
      <c r="G24" s="53"/>
      <c r="H24" s="53"/>
      <c r="I24" s="54"/>
      <c r="J24" s="55" t="s">
        <v>231</v>
      </c>
      <c r="K24" s="55"/>
      <c r="L24" s="10"/>
      <c r="M24" s="10"/>
      <c r="N24" s="10"/>
      <c r="O24" s="10"/>
      <c r="P24" s="10"/>
    </row>
    <row r="25" spans="1:16" ht="83.25" customHeight="1" x14ac:dyDescent="0.3">
      <c r="A25" s="11" t="s">
        <v>232</v>
      </c>
      <c r="B25" s="6" t="s">
        <v>29</v>
      </c>
      <c r="C25" s="57" t="s">
        <v>282</v>
      </c>
      <c r="D25" s="53"/>
      <c r="E25" s="53"/>
      <c r="F25" s="53"/>
      <c r="G25" s="53"/>
      <c r="H25" s="53"/>
      <c r="I25" s="54"/>
      <c r="J25" s="55" t="s">
        <v>45</v>
      </c>
      <c r="K25" s="55"/>
      <c r="L25" s="10"/>
      <c r="M25" s="10"/>
      <c r="N25" s="10"/>
      <c r="O25" s="10"/>
      <c r="P25" s="10"/>
    </row>
    <row r="26" spans="1:16" ht="47.25" customHeight="1" x14ac:dyDescent="0.3">
      <c r="A26" s="11" t="s">
        <v>237</v>
      </c>
      <c r="B26" s="6" t="s">
        <v>46</v>
      </c>
      <c r="C26" s="57" t="s">
        <v>283</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368</v>
      </c>
      <c r="D29" s="53"/>
      <c r="E29" s="53"/>
      <c r="F29" s="53"/>
      <c r="G29" s="53"/>
      <c r="H29" s="53"/>
      <c r="I29" s="54"/>
      <c r="J29" s="55" t="s">
        <v>360</v>
      </c>
      <c r="K29" s="55"/>
      <c r="L29" s="10"/>
      <c r="M29" s="10"/>
      <c r="N29" s="10"/>
      <c r="O29" s="10"/>
      <c r="P29" s="10"/>
    </row>
    <row r="30" spans="1:16" ht="93.75" customHeight="1" x14ac:dyDescent="0.3">
      <c r="A30" s="11" t="s">
        <v>382</v>
      </c>
      <c r="B30" s="40" t="s">
        <v>361</v>
      </c>
      <c r="C30" s="57" t="s">
        <v>369</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761DFC1-3BE9-40C9-9538-DDA28B4F58E1}">
          <x14:formula1>
            <xm:f>통합!$A$3:$A$44</xm:f>
          </x14:formula1>
          <xm:sqref>J34:J65 C2:I2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A1F0-C802-4711-97B8-B68953B97B77}">
  <dimension ref="A1:P130"/>
  <sheetViews>
    <sheetView topLeftCell="A21"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286</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287</v>
      </c>
      <c r="D13" s="53"/>
      <c r="E13" s="53"/>
      <c r="F13" s="53"/>
      <c r="G13" s="53"/>
      <c r="H13" s="53"/>
      <c r="I13" s="54"/>
      <c r="J13" s="55" t="s">
        <v>37</v>
      </c>
      <c r="K13" s="55"/>
      <c r="L13" s="10"/>
      <c r="M13" s="10"/>
      <c r="N13" s="10"/>
      <c r="O13" s="10"/>
      <c r="P13" s="10"/>
    </row>
    <row r="14" spans="1:16" ht="21.75" customHeight="1" x14ac:dyDescent="0.3">
      <c r="A14" s="11" t="s">
        <v>234</v>
      </c>
      <c r="B14" s="4" t="s">
        <v>235</v>
      </c>
      <c r="C14" s="53" t="s">
        <v>288</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289</v>
      </c>
      <c r="D16" s="53"/>
      <c r="E16" s="53"/>
      <c r="F16" s="53"/>
      <c r="G16" s="53"/>
      <c r="H16" s="53"/>
      <c r="I16" s="54"/>
      <c r="J16" s="55" t="s">
        <v>191</v>
      </c>
      <c r="K16" s="55"/>
      <c r="L16" s="10"/>
      <c r="M16" s="10"/>
      <c r="N16" s="10"/>
      <c r="O16" s="10"/>
      <c r="P16" s="10"/>
    </row>
    <row r="17" spans="1:16" ht="48.75" customHeight="1" x14ac:dyDescent="0.3">
      <c r="A17" s="11" t="s">
        <v>182</v>
      </c>
      <c r="B17" s="4" t="s">
        <v>217</v>
      </c>
      <c r="C17" s="53" t="s">
        <v>290</v>
      </c>
      <c r="D17" s="53"/>
      <c r="E17" s="53"/>
      <c r="F17" s="53"/>
      <c r="G17" s="53"/>
      <c r="H17" s="53"/>
      <c r="I17" s="54"/>
      <c r="J17" s="55" t="s">
        <v>181</v>
      </c>
      <c r="K17" s="55"/>
      <c r="L17" s="10"/>
      <c r="M17" s="10"/>
      <c r="N17" s="10"/>
      <c r="O17" s="10"/>
      <c r="P17" s="10"/>
    </row>
    <row r="18" spans="1:16" ht="48.75" customHeight="1" x14ac:dyDescent="0.3">
      <c r="A18" s="11" t="s">
        <v>194</v>
      </c>
      <c r="B18" s="4" t="s">
        <v>218</v>
      </c>
      <c r="C18" s="53" t="s">
        <v>291</v>
      </c>
      <c r="D18" s="53"/>
      <c r="E18" s="53"/>
      <c r="F18" s="53"/>
      <c r="G18" s="53"/>
      <c r="H18" s="53"/>
      <c r="I18" s="54"/>
      <c r="J18" s="55" t="s">
        <v>181</v>
      </c>
      <c r="K18" s="55"/>
      <c r="L18" s="10"/>
      <c r="M18" s="10"/>
      <c r="N18" s="10"/>
      <c r="O18" s="10"/>
      <c r="P18" s="10"/>
    </row>
    <row r="19" spans="1:16" ht="44.25" customHeight="1" x14ac:dyDescent="0.3">
      <c r="A19" s="11" t="s">
        <v>221</v>
      </c>
      <c r="B19" s="4" t="s">
        <v>22</v>
      </c>
      <c r="C19" s="57" t="s">
        <v>292</v>
      </c>
      <c r="D19" s="53"/>
      <c r="E19" s="53"/>
      <c r="F19" s="53"/>
      <c r="G19" s="53"/>
      <c r="H19" s="53"/>
      <c r="I19" s="54"/>
      <c r="J19" s="55" t="s">
        <v>39</v>
      </c>
      <c r="K19" s="55"/>
      <c r="L19" s="10"/>
      <c r="M19" s="10"/>
      <c r="N19" s="10"/>
      <c r="O19" s="10"/>
      <c r="P19" s="10"/>
    </row>
    <row r="20" spans="1:16" ht="28.5" customHeight="1" x14ac:dyDescent="0.3">
      <c r="A20" s="11" t="s">
        <v>224</v>
      </c>
      <c r="B20" s="4" t="s">
        <v>25</v>
      </c>
      <c r="C20" s="53" t="s">
        <v>293</v>
      </c>
      <c r="D20" s="53"/>
      <c r="E20" s="53"/>
      <c r="F20" s="53"/>
      <c r="G20" s="53"/>
      <c r="H20" s="53"/>
      <c r="I20" s="54"/>
      <c r="J20" s="55" t="s">
        <v>40</v>
      </c>
      <c r="K20" s="55"/>
      <c r="L20" s="10"/>
      <c r="M20" s="10"/>
      <c r="N20" s="10"/>
      <c r="O20" s="10"/>
      <c r="P20" s="10"/>
    </row>
    <row r="21" spans="1:16" ht="78" customHeight="1" x14ac:dyDescent="0.3">
      <c r="A21" s="11" t="s">
        <v>225</v>
      </c>
      <c r="B21" s="4" t="s">
        <v>27</v>
      </c>
      <c r="C21" s="57" t="s">
        <v>294</v>
      </c>
      <c r="D21" s="53"/>
      <c r="E21" s="53"/>
      <c r="F21" s="53"/>
      <c r="G21" s="53"/>
      <c r="H21" s="53"/>
      <c r="I21" s="54"/>
      <c r="J21" s="55" t="s">
        <v>41</v>
      </c>
      <c r="K21" s="55"/>
      <c r="L21" s="10"/>
      <c r="M21" s="10"/>
      <c r="N21" s="10"/>
      <c r="O21" s="10"/>
      <c r="P21" s="10"/>
    </row>
    <row r="22" spans="1:16" ht="62.25" customHeight="1" x14ac:dyDescent="0.3">
      <c r="A22" s="11" t="s">
        <v>226</v>
      </c>
      <c r="B22" s="58" t="s">
        <v>28</v>
      </c>
      <c r="C22" s="57" t="s">
        <v>295</v>
      </c>
      <c r="D22" s="53"/>
      <c r="E22" s="53"/>
      <c r="F22" s="53"/>
      <c r="G22" s="53"/>
      <c r="H22" s="53"/>
      <c r="I22" s="54"/>
      <c r="J22" s="55" t="s">
        <v>229</v>
      </c>
      <c r="K22" s="55"/>
      <c r="L22" s="10"/>
      <c r="M22" s="10"/>
      <c r="N22" s="10"/>
      <c r="O22" s="10"/>
      <c r="P22" s="10"/>
    </row>
    <row r="23" spans="1:16" ht="62.25" customHeight="1" x14ac:dyDescent="0.3">
      <c r="A23" s="11" t="s">
        <v>227</v>
      </c>
      <c r="B23" s="58"/>
      <c r="C23" s="57" t="s">
        <v>296</v>
      </c>
      <c r="D23" s="53"/>
      <c r="E23" s="53"/>
      <c r="F23" s="53"/>
      <c r="G23" s="53"/>
      <c r="H23" s="53"/>
      <c r="I23" s="54"/>
      <c r="J23" s="55" t="s">
        <v>230</v>
      </c>
      <c r="K23" s="55"/>
      <c r="L23" s="10"/>
      <c r="M23" s="10"/>
      <c r="N23" s="10"/>
      <c r="O23" s="10"/>
      <c r="P23" s="10"/>
    </row>
    <row r="24" spans="1:16" ht="62.25" customHeight="1" x14ac:dyDescent="0.3">
      <c r="A24" s="11" t="s">
        <v>228</v>
      </c>
      <c r="B24" s="58"/>
      <c r="C24" s="57" t="s">
        <v>297</v>
      </c>
      <c r="D24" s="53"/>
      <c r="E24" s="53"/>
      <c r="F24" s="53"/>
      <c r="G24" s="53"/>
      <c r="H24" s="53"/>
      <c r="I24" s="54"/>
      <c r="J24" s="55" t="s">
        <v>231</v>
      </c>
      <c r="K24" s="55"/>
      <c r="L24" s="10"/>
      <c r="M24" s="10"/>
      <c r="N24" s="10"/>
      <c r="O24" s="10"/>
      <c r="P24" s="10"/>
    </row>
    <row r="25" spans="1:16" ht="83.25" customHeight="1" x14ac:dyDescent="0.3">
      <c r="A25" s="11" t="s">
        <v>232</v>
      </c>
      <c r="B25" s="6" t="s">
        <v>29</v>
      </c>
      <c r="C25" s="57" t="s">
        <v>298</v>
      </c>
      <c r="D25" s="53"/>
      <c r="E25" s="53"/>
      <c r="F25" s="53"/>
      <c r="G25" s="53"/>
      <c r="H25" s="53"/>
      <c r="I25" s="54"/>
      <c r="J25" s="55" t="s">
        <v>45</v>
      </c>
      <c r="K25" s="55"/>
      <c r="L25" s="10"/>
      <c r="M25" s="10"/>
      <c r="N25" s="10"/>
      <c r="O25" s="10"/>
      <c r="P25" s="10"/>
    </row>
    <row r="26" spans="1:16" ht="47.25" customHeight="1" x14ac:dyDescent="0.3">
      <c r="A26" s="11" t="s">
        <v>237</v>
      </c>
      <c r="B26" s="6" t="s">
        <v>46</v>
      </c>
      <c r="C26" s="57" t="s">
        <v>299</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370</v>
      </c>
      <c r="D29" s="53"/>
      <c r="E29" s="53"/>
      <c r="F29" s="53"/>
      <c r="G29" s="53"/>
      <c r="H29" s="53"/>
      <c r="I29" s="54"/>
      <c r="J29" s="55" t="s">
        <v>360</v>
      </c>
      <c r="K29" s="55"/>
      <c r="L29" s="10"/>
      <c r="M29" s="10"/>
      <c r="N29" s="10"/>
      <c r="O29" s="10"/>
      <c r="P29" s="10"/>
    </row>
    <row r="30" spans="1:16" ht="93.75" customHeight="1" x14ac:dyDescent="0.3">
      <c r="A30" s="11" t="s">
        <v>382</v>
      </c>
      <c r="B30" s="40" t="s">
        <v>361</v>
      </c>
      <c r="C30" s="57" t="s">
        <v>371</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0040D5-E8FA-4193-A94B-4E1E994BAA8A}">
          <x14:formula1>
            <xm:f>통합!$A$3:$A$44</xm:f>
          </x14:formula1>
          <xm:sqref>J34:J65 C2:I2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FBE4-6CA4-4E80-A49F-33B3A5EBD63D}">
  <dimension ref="A1:P130"/>
  <sheetViews>
    <sheetView topLeftCell="A22"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300</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301</v>
      </c>
      <c r="D13" s="53"/>
      <c r="E13" s="53"/>
      <c r="F13" s="53"/>
      <c r="G13" s="53"/>
      <c r="H13" s="53"/>
      <c r="I13" s="54"/>
      <c r="J13" s="55" t="s">
        <v>37</v>
      </c>
      <c r="K13" s="55"/>
      <c r="L13" s="10"/>
      <c r="M13" s="10"/>
      <c r="N13" s="10"/>
      <c r="O13" s="10"/>
      <c r="P13" s="10"/>
    </row>
    <row r="14" spans="1:16" ht="21.75" customHeight="1" x14ac:dyDescent="0.3">
      <c r="A14" s="11" t="s">
        <v>234</v>
      </c>
      <c r="B14" s="4" t="s">
        <v>235</v>
      </c>
      <c r="C14" s="53" t="s">
        <v>302</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303</v>
      </c>
      <c r="D16" s="53"/>
      <c r="E16" s="53"/>
      <c r="F16" s="53"/>
      <c r="G16" s="53"/>
      <c r="H16" s="53"/>
      <c r="I16" s="54"/>
      <c r="J16" s="55" t="s">
        <v>191</v>
      </c>
      <c r="K16" s="55"/>
      <c r="L16" s="10"/>
      <c r="M16" s="10"/>
      <c r="N16" s="10"/>
      <c r="O16" s="10"/>
      <c r="P16" s="10"/>
    </row>
    <row r="17" spans="1:16" ht="48.75" customHeight="1" x14ac:dyDescent="0.3">
      <c r="A17" s="11" t="s">
        <v>182</v>
      </c>
      <c r="B17" s="4" t="s">
        <v>217</v>
      </c>
      <c r="C17" s="53" t="s">
        <v>304</v>
      </c>
      <c r="D17" s="53"/>
      <c r="E17" s="53"/>
      <c r="F17" s="53"/>
      <c r="G17" s="53"/>
      <c r="H17" s="53"/>
      <c r="I17" s="54"/>
      <c r="J17" s="55" t="s">
        <v>181</v>
      </c>
      <c r="K17" s="55"/>
      <c r="L17" s="10"/>
      <c r="M17" s="10"/>
      <c r="N17" s="10"/>
      <c r="O17" s="10"/>
      <c r="P17" s="10"/>
    </row>
    <row r="18" spans="1:16" ht="48.75" customHeight="1" x14ac:dyDescent="0.3">
      <c r="A18" s="11" t="s">
        <v>194</v>
      </c>
      <c r="B18" s="4" t="s">
        <v>218</v>
      </c>
      <c r="C18" s="53" t="s">
        <v>305</v>
      </c>
      <c r="D18" s="53"/>
      <c r="E18" s="53"/>
      <c r="F18" s="53"/>
      <c r="G18" s="53"/>
      <c r="H18" s="53"/>
      <c r="I18" s="54"/>
      <c r="J18" s="55" t="s">
        <v>181</v>
      </c>
      <c r="K18" s="55"/>
      <c r="L18" s="10"/>
      <c r="M18" s="10"/>
      <c r="N18" s="10"/>
      <c r="O18" s="10"/>
      <c r="P18" s="10"/>
    </row>
    <row r="19" spans="1:16" ht="44.25" customHeight="1" x14ac:dyDescent="0.3">
      <c r="A19" s="11" t="s">
        <v>221</v>
      </c>
      <c r="B19" s="4" t="s">
        <v>22</v>
      </c>
      <c r="C19" s="57" t="s">
        <v>306</v>
      </c>
      <c r="D19" s="53"/>
      <c r="E19" s="53"/>
      <c r="F19" s="53"/>
      <c r="G19" s="53"/>
      <c r="H19" s="53"/>
      <c r="I19" s="54"/>
      <c r="J19" s="55" t="s">
        <v>39</v>
      </c>
      <c r="K19" s="55"/>
      <c r="L19" s="10"/>
      <c r="M19" s="10"/>
      <c r="N19" s="10"/>
      <c r="O19" s="10"/>
      <c r="P19" s="10"/>
    </row>
    <row r="20" spans="1:16" ht="28.5" customHeight="1" x14ac:dyDescent="0.3">
      <c r="A20" s="11" t="s">
        <v>224</v>
      </c>
      <c r="B20" s="4" t="s">
        <v>25</v>
      </c>
      <c r="C20" s="53" t="s">
        <v>307</v>
      </c>
      <c r="D20" s="53"/>
      <c r="E20" s="53"/>
      <c r="F20" s="53"/>
      <c r="G20" s="53"/>
      <c r="H20" s="53"/>
      <c r="I20" s="54"/>
      <c r="J20" s="55" t="s">
        <v>40</v>
      </c>
      <c r="K20" s="55"/>
      <c r="L20" s="10"/>
      <c r="M20" s="10"/>
      <c r="N20" s="10"/>
      <c r="O20" s="10"/>
      <c r="P20" s="10"/>
    </row>
    <row r="21" spans="1:16" ht="78" customHeight="1" x14ac:dyDescent="0.3">
      <c r="A21" s="11" t="s">
        <v>225</v>
      </c>
      <c r="B21" s="4" t="s">
        <v>27</v>
      </c>
      <c r="C21" s="57" t="s">
        <v>308</v>
      </c>
      <c r="D21" s="53"/>
      <c r="E21" s="53"/>
      <c r="F21" s="53"/>
      <c r="G21" s="53"/>
      <c r="H21" s="53"/>
      <c r="I21" s="54"/>
      <c r="J21" s="55" t="s">
        <v>41</v>
      </c>
      <c r="K21" s="55"/>
      <c r="L21" s="10"/>
      <c r="M21" s="10"/>
      <c r="N21" s="10"/>
      <c r="O21" s="10"/>
      <c r="P21" s="10"/>
    </row>
    <row r="22" spans="1:16" ht="62.25" customHeight="1" x14ac:dyDescent="0.3">
      <c r="A22" s="11" t="s">
        <v>226</v>
      </c>
      <c r="B22" s="58" t="s">
        <v>28</v>
      </c>
      <c r="C22" s="57" t="s">
        <v>309</v>
      </c>
      <c r="D22" s="53"/>
      <c r="E22" s="53"/>
      <c r="F22" s="53"/>
      <c r="G22" s="53"/>
      <c r="H22" s="53"/>
      <c r="I22" s="54"/>
      <c r="J22" s="55" t="s">
        <v>229</v>
      </c>
      <c r="K22" s="55"/>
      <c r="L22" s="10"/>
      <c r="M22" s="10"/>
      <c r="N22" s="10"/>
      <c r="O22" s="10"/>
      <c r="P22" s="10"/>
    </row>
    <row r="23" spans="1:16" ht="62.25" customHeight="1" x14ac:dyDescent="0.3">
      <c r="A23" s="11" t="s">
        <v>227</v>
      </c>
      <c r="B23" s="58"/>
      <c r="C23" s="57" t="s">
        <v>310</v>
      </c>
      <c r="D23" s="53"/>
      <c r="E23" s="53"/>
      <c r="F23" s="53"/>
      <c r="G23" s="53"/>
      <c r="H23" s="53"/>
      <c r="I23" s="54"/>
      <c r="J23" s="55" t="s">
        <v>230</v>
      </c>
      <c r="K23" s="55"/>
      <c r="L23" s="10"/>
      <c r="M23" s="10"/>
      <c r="N23" s="10"/>
      <c r="O23" s="10"/>
      <c r="P23" s="10"/>
    </row>
    <row r="24" spans="1:16" ht="62.25" customHeight="1" x14ac:dyDescent="0.3">
      <c r="A24" s="11" t="s">
        <v>228</v>
      </c>
      <c r="B24" s="58"/>
      <c r="C24" s="57" t="s">
        <v>311</v>
      </c>
      <c r="D24" s="53"/>
      <c r="E24" s="53"/>
      <c r="F24" s="53"/>
      <c r="G24" s="53"/>
      <c r="H24" s="53"/>
      <c r="I24" s="54"/>
      <c r="J24" s="55" t="s">
        <v>231</v>
      </c>
      <c r="K24" s="55"/>
      <c r="L24" s="10"/>
      <c r="M24" s="10"/>
      <c r="N24" s="10"/>
      <c r="O24" s="10"/>
      <c r="P24" s="10"/>
    </row>
    <row r="25" spans="1:16" ht="83.25" customHeight="1" x14ac:dyDescent="0.3">
      <c r="A25" s="11" t="s">
        <v>232</v>
      </c>
      <c r="B25" s="6" t="s">
        <v>29</v>
      </c>
      <c r="C25" s="57" t="s">
        <v>312</v>
      </c>
      <c r="D25" s="53"/>
      <c r="E25" s="53"/>
      <c r="F25" s="53"/>
      <c r="G25" s="53"/>
      <c r="H25" s="53"/>
      <c r="I25" s="54"/>
      <c r="J25" s="55" t="s">
        <v>45</v>
      </c>
      <c r="K25" s="55"/>
      <c r="L25" s="10"/>
      <c r="M25" s="10"/>
      <c r="N25" s="10"/>
      <c r="O25" s="10"/>
      <c r="P25" s="10"/>
    </row>
    <row r="26" spans="1:16" ht="47.25" customHeight="1" x14ac:dyDescent="0.3">
      <c r="A26" s="11" t="s">
        <v>237</v>
      </c>
      <c r="B26" s="6" t="s">
        <v>46</v>
      </c>
      <c r="C26" s="57" t="s">
        <v>313</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372</v>
      </c>
      <c r="D29" s="53"/>
      <c r="E29" s="53"/>
      <c r="F29" s="53"/>
      <c r="G29" s="53"/>
      <c r="H29" s="53"/>
      <c r="I29" s="54"/>
      <c r="J29" s="55" t="s">
        <v>360</v>
      </c>
      <c r="K29" s="55"/>
      <c r="L29" s="10"/>
      <c r="M29" s="10"/>
      <c r="N29" s="10"/>
      <c r="O29" s="10"/>
      <c r="P29" s="10"/>
    </row>
    <row r="30" spans="1:16" ht="93.75" customHeight="1" x14ac:dyDescent="0.3">
      <c r="A30" s="11" t="s">
        <v>382</v>
      </c>
      <c r="B30" s="40" t="s">
        <v>361</v>
      </c>
      <c r="C30" s="57" t="s">
        <v>373</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C3790C9-BC54-4408-A981-C1801837FA29}">
          <x14:formula1>
            <xm:f>통합!$A$3:$A$44</xm:f>
          </x14:formula1>
          <xm:sqref>J34:J65 C2:I2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3F28-65AA-405C-A8FA-B0B746520FD4}">
  <dimension ref="A1:P130"/>
  <sheetViews>
    <sheetView topLeftCell="A21"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314</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315</v>
      </c>
      <c r="D13" s="53"/>
      <c r="E13" s="53"/>
      <c r="F13" s="53"/>
      <c r="G13" s="53"/>
      <c r="H13" s="53"/>
      <c r="I13" s="54"/>
      <c r="J13" s="55" t="s">
        <v>37</v>
      </c>
      <c r="K13" s="55"/>
      <c r="L13" s="10"/>
      <c r="M13" s="10"/>
      <c r="N13" s="10"/>
      <c r="O13" s="10"/>
      <c r="P13" s="10"/>
    </row>
    <row r="14" spans="1:16" ht="21.75" customHeight="1" x14ac:dyDescent="0.3">
      <c r="A14" s="11" t="s">
        <v>234</v>
      </c>
      <c r="B14" s="4" t="s">
        <v>235</v>
      </c>
      <c r="C14" s="53" t="s">
        <v>316</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317</v>
      </c>
      <c r="D16" s="53"/>
      <c r="E16" s="53"/>
      <c r="F16" s="53"/>
      <c r="G16" s="53"/>
      <c r="H16" s="53"/>
      <c r="I16" s="54"/>
      <c r="J16" s="55" t="s">
        <v>191</v>
      </c>
      <c r="K16" s="55"/>
      <c r="L16" s="10"/>
      <c r="M16" s="10"/>
      <c r="N16" s="10"/>
      <c r="O16" s="10"/>
      <c r="P16" s="10"/>
    </row>
    <row r="17" spans="1:16" ht="48.75" customHeight="1" x14ac:dyDescent="0.3">
      <c r="A17" s="11" t="s">
        <v>182</v>
      </c>
      <c r="B17" s="4" t="s">
        <v>217</v>
      </c>
      <c r="C17" s="53" t="s">
        <v>318</v>
      </c>
      <c r="D17" s="53"/>
      <c r="E17" s="53"/>
      <c r="F17" s="53"/>
      <c r="G17" s="53"/>
      <c r="H17" s="53"/>
      <c r="I17" s="54"/>
      <c r="J17" s="55" t="s">
        <v>181</v>
      </c>
      <c r="K17" s="55"/>
      <c r="L17" s="10"/>
      <c r="M17" s="10"/>
      <c r="N17" s="10"/>
      <c r="O17" s="10"/>
      <c r="P17" s="10"/>
    </row>
    <row r="18" spans="1:16" ht="48.75" customHeight="1" x14ac:dyDescent="0.3">
      <c r="A18" s="11" t="s">
        <v>194</v>
      </c>
      <c r="B18" s="4" t="s">
        <v>218</v>
      </c>
      <c r="C18" s="53" t="s">
        <v>319</v>
      </c>
      <c r="D18" s="53"/>
      <c r="E18" s="53"/>
      <c r="F18" s="53"/>
      <c r="G18" s="53"/>
      <c r="H18" s="53"/>
      <c r="I18" s="54"/>
      <c r="J18" s="55" t="s">
        <v>181</v>
      </c>
      <c r="K18" s="55"/>
      <c r="L18" s="10"/>
      <c r="M18" s="10"/>
      <c r="N18" s="10"/>
      <c r="O18" s="10"/>
      <c r="P18" s="10"/>
    </row>
    <row r="19" spans="1:16" ht="44.25" customHeight="1" x14ac:dyDescent="0.3">
      <c r="A19" s="11" t="s">
        <v>221</v>
      </c>
      <c r="B19" s="4" t="s">
        <v>22</v>
      </c>
      <c r="C19" s="57" t="s">
        <v>320</v>
      </c>
      <c r="D19" s="53"/>
      <c r="E19" s="53"/>
      <c r="F19" s="53"/>
      <c r="G19" s="53"/>
      <c r="H19" s="53"/>
      <c r="I19" s="54"/>
      <c r="J19" s="55" t="s">
        <v>39</v>
      </c>
      <c r="K19" s="55"/>
      <c r="L19" s="10"/>
      <c r="M19" s="10"/>
      <c r="N19" s="10"/>
      <c r="O19" s="10"/>
      <c r="P19" s="10"/>
    </row>
    <row r="20" spans="1:16" ht="28.5" customHeight="1" x14ac:dyDescent="0.3">
      <c r="A20" s="11" t="s">
        <v>224</v>
      </c>
      <c r="B20" s="4" t="s">
        <v>25</v>
      </c>
      <c r="C20" s="53" t="s">
        <v>321</v>
      </c>
      <c r="D20" s="53"/>
      <c r="E20" s="53"/>
      <c r="F20" s="53"/>
      <c r="G20" s="53"/>
      <c r="H20" s="53"/>
      <c r="I20" s="54"/>
      <c r="J20" s="55" t="s">
        <v>40</v>
      </c>
      <c r="K20" s="55"/>
      <c r="L20" s="10"/>
      <c r="M20" s="10"/>
      <c r="N20" s="10"/>
      <c r="O20" s="10"/>
      <c r="P20" s="10"/>
    </row>
    <row r="21" spans="1:16" ht="78" customHeight="1" x14ac:dyDescent="0.3">
      <c r="A21" s="11" t="s">
        <v>225</v>
      </c>
      <c r="B21" s="4" t="s">
        <v>27</v>
      </c>
      <c r="C21" s="57" t="s">
        <v>322</v>
      </c>
      <c r="D21" s="53"/>
      <c r="E21" s="53"/>
      <c r="F21" s="53"/>
      <c r="G21" s="53"/>
      <c r="H21" s="53"/>
      <c r="I21" s="54"/>
      <c r="J21" s="55" t="s">
        <v>41</v>
      </c>
      <c r="K21" s="55"/>
      <c r="L21" s="10"/>
      <c r="M21" s="10"/>
      <c r="N21" s="10"/>
      <c r="O21" s="10"/>
      <c r="P21" s="10"/>
    </row>
    <row r="22" spans="1:16" ht="62.25" customHeight="1" x14ac:dyDescent="0.3">
      <c r="A22" s="11" t="s">
        <v>226</v>
      </c>
      <c r="B22" s="58" t="s">
        <v>28</v>
      </c>
      <c r="C22" s="57" t="s">
        <v>323</v>
      </c>
      <c r="D22" s="53"/>
      <c r="E22" s="53"/>
      <c r="F22" s="53"/>
      <c r="G22" s="53"/>
      <c r="H22" s="53"/>
      <c r="I22" s="54"/>
      <c r="J22" s="55" t="s">
        <v>229</v>
      </c>
      <c r="K22" s="55"/>
      <c r="L22" s="10"/>
      <c r="M22" s="10"/>
      <c r="N22" s="10"/>
      <c r="O22" s="10"/>
      <c r="P22" s="10"/>
    </row>
    <row r="23" spans="1:16" ht="62.25" customHeight="1" x14ac:dyDescent="0.3">
      <c r="A23" s="11" t="s">
        <v>227</v>
      </c>
      <c r="B23" s="58"/>
      <c r="C23" s="57" t="s">
        <v>324</v>
      </c>
      <c r="D23" s="53"/>
      <c r="E23" s="53"/>
      <c r="F23" s="53"/>
      <c r="G23" s="53"/>
      <c r="H23" s="53"/>
      <c r="I23" s="54"/>
      <c r="J23" s="55" t="s">
        <v>230</v>
      </c>
      <c r="K23" s="55"/>
      <c r="L23" s="10"/>
      <c r="M23" s="10"/>
      <c r="N23" s="10"/>
      <c r="O23" s="10"/>
      <c r="P23" s="10"/>
    </row>
    <row r="24" spans="1:16" ht="62.25" customHeight="1" x14ac:dyDescent="0.3">
      <c r="A24" s="11" t="s">
        <v>228</v>
      </c>
      <c r="B24" s="58"/>
      <c r="C24" s="57" t="s">
        <v>325</v>
      </c>
      <c r="D24" s="53"/>
      <c r="E24" s="53"/>
      <c r="F24" s="53"/>
      <c r="G24" s="53"/>
      <c r="H24" s="53"/>
      <c r="I24" s="54"/>
      <c r="J24" s="55" t="s">
        <v>231</v>
      </c>
      <c r="K24" s="55"/>
      <c r="L24" s="10"/>
      <c r="M24" s="10"/>
      <c r="N24" s="10"/>
      <c r="O24" s="10"/>
      <c r="P24" s="10"/>
    </row>
    <row r="25" spans="1:16" ht="83.25" customHeight="1" x14ac:dyDescent="0.3">
      <c r="A25" s="11" t="s">
        <v>232</v>
      </c>
      <c r="B25" s="6" t="s">
        <v>29</v>
      </c>
      <c r="C25" s="57" t="s">
        <v>326</v>
      </c>
      <c r="D25" s="53"/>
      <c r="E25" s="53"/>
      <c r="F25" s="53"/>
      <c r="G25" s="53"/>
      <c r="H25" s="53"/>
      <c r="I25" s="54"/>
      <c r="J25" s="55" t="s">
        <v>45</v>
      </c>
      <c r="K25" s="55"/>
      <c r="L25" s="10"/>
      <c r="M25" s="10"/>
      <c r="N25" s="10"/>
      <c r="O25" s="10"/>
      <c r="P25" s="10"/>
    </row>
    <row r="26" spans="1:16" ht="47.25" customHeight="1" x14ac:dyDescent="0.3">
      <c r="A26" s="11" t="s">
        <v>237</v>
      </c>
      <c r="B26" s="6" t="s">
        <v>46</v>
      </c>
      <c r="C26" s="57" t="s">
        <v>327</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374</v>
      </c>
      <c r="D29" s="53"/>
      <c r="E29" s="53"/>
      <c r="F29" s="53"/>
      <c r="G29" s="53"/>
      <c r="H29" s="53"/>
      <c r="I29" s="54"/>
      <c r="J29" s="55" t="s">
        <v>360</v>
      </c>
      <c r="K29" s="55"/>
      <c r="L29" s="10"/>
      <c r="M29" s="10"/>
      <c r="N29" s="10"/>
      <c r="O29" s="10"/>
      <c r="P29" s="10"/>
    </row>
    <row r="30" spans="1:16" ht="93.75" customHeight="1" x14ac:dyDescent="0.3">
      <c r="A30" s="11" t="s">
        <v>382</v>
      </c>
      <c r="B30" s="40" t="s">
        <v>361</v>
      </c>
      <c r="C30" s="57" t="s">
        <v>375</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08853B1-E364-4A12-87EB-9FA37442E6CF}">
          <x14:formula1>
            <xm:f>통합!$A$3:$A$44</xm:f>
          </x14:formula1>
          <xm:sqref>J34:J65 C2:I2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72AAA-C514-4CA8-ACB8-CB8C513B647F}">
  <dimension ref="A1:P130"/>
  <sheetViews>
    <sheetView topLeftCell="A20"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328</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329</v>
      </c>
      <c r="D13" s="53"/>
      <c r="E13" s="53"/>
      <c r="F13" s="53"/>
      <c r="G13" s="53"/>
      <c r="H13" s="53"/>
      <c r="I13" s="54"/>
      <c r="J13" s="55" t="s">
        <v>37</v>
      </c>
      <c r="K13" s="55"/>
      <c r="L13" s="10"/>
      <c r="M13" s="10"/>
      <c r="N13" s="10"/>
      <c r="O13" s="10"/>
      <c r="P13" s="10"/>
    </row>
    <row r="14" spans="1:16" ht="21.75" customHeight="1" x14ac:dyDescent="0.3">
      <c r="A14" s="11" t="s">
        <v>234</v>
      </c>
      <c r="B14" s="4" t="s">
        <v>235</v>
      </c>
      <c r="C14" s="53" t="s">
        <v>330</v>
      </c>
      <c r="D14" s="53"/>
      <c r="E14" s="53"/>
      <c r="F14" s="53"/>
      <c r="G14" s="53"/>
      <c r="H14" s="53"/>
      <c r="I14" s="54"/>
      <c r="J14" s="55" t="s">
        <v>236</v>
      </c>
      <c r="K14" s="55"/>
      <c r="L14" s="10"/>
      <c r="M14" s="10"/>
      <c r="N14" s="10"/>
      <c r="O14" s="10"/>
      <c r="P14" s="10"/>
    </row>
    <row r="15" spans="1:16" ht="21.75" customHeight="1" x14ac:dyDescent="0.3">
      <c r="A15" s="11" t="s">
        <v>193</v>
      </c>
      <c r="B15" s="4" t="s">
        <v>189</v>
      </c>
      <c r="C15" s="53" t="s">
        <v>246</v>
      </c>
      <c r="D15" s="53"/>
      <c r="E15" s="53"/>
      <c r="F15" s="53"/>
      <c r="G15" s="53"/>
      <c r="H15" s="53"/>
      <c r="I15" s="54"/>
      <c r="J15" s="55" t="s">
        <v>188</v>
      </c>
      <c r="K15" s="55"/>
      <c r="L15" s="10"/>
      <c r="M15" s="10"/>
      <c r="N15" s="10"/>
      <c r="O15" s="10"/>
      <c r="P15" s="10"/>
    </row>
    <row r="16" spans="1:16" ht="21.75" customHeight="1" x14ac:dyDescent="0.3">
      <c r="A16" s="11" t="s">
        <v>192</v>
      </c>
      <c r="B16" s="4" t="s">
        <v>190</v>
      </c>
      <c r="C16" s="53" t="s">
        <v>331</v>
      </c>
      <c r="D16" s="53"/>
      <c r="E16" s="53"/>
      <c r="F16" s="53"/>
      <c r="G16" s="53"/>
      <c r="H16" s="53"/>
      <c r="I16" s="54"/>
      <c r="J16" s="55" t="s">
        <v>191</v>
      </c>
      <c r="K16" s="55"/>
      <c r="L16" s="10"/>
      <c r="M16" s="10"/>
      <c r="N16" s="10"/>
      <c r="O16" s="10"/>
      <c r="P16" s="10"/>
    </row>
    <row r="17" spans="1:16" ht="48.75" customHeight="1" x14ac:dyDescent="0.3">
      <c r="A17" s="11" t="s">
        <v>182</v>
      </c>
      <c r="B17" s="4" t="s">
        <v>217</v>
      </c>
      <c r="C17" s="53" t="s">
        <v>332</v>
      </c>
      <c r="D17" s="53"/>
      <c r="E17" s="53"/>
      <c r="F17" s="53"/>
      <c r="G17" s="53"/>
      <c r="H17" s="53"/>
      <c r="I17" s="54"/>
      <c r="J17" s="55" t="s">
        <v>181</v>
      </c>
      <c r="K17" s="55"/>
      <c r="L17" s="10"/>
      <c r="M17" s="10"/>
      <c r="N17" s="10"/>
      <c r="O17" s="10"/>
      <c r="P17" s="10"/>
    </row>
    <row r="18" spans="1:16" ht="48.75" customHeight="1" x14ac:dyDescent="0.3">
      <c r="A18" s="11" t="s">
        <v>194</v>
      </c>
      <c r="B18" s="4" t="s">
        <v>218</v>
      </c>
      <c r="C18" s="53" t="s">
        <v>333</v>
      </c>
      <c r="D18" s="53"/>
      <c r="E18" s="53"/>
      <c r="F18" s="53"/>
      <c r="G18" s="53"/>
      <c r="H18" s="53"/>
      <c r="I18" s="54"/>
      <c r="J18" s="55" t="s">
        <v>181</v>
      </c>
      <c r="K18" s="55"/>
      <c r="L18" s="10"/>
      <c r="M18" s="10"/>
      <c r="N18" s="10"/>
      <c r="O18" s="10"/>
      <c r="P18" s="10"/>
    </row>
    <row r="19" spans="1:16" ht="44.25" customHeight="1" x14ac:dyDescent="0.3">
      <c r="A19" s="11" t="s">
        <v>221</v>
      </c>
      <c r="B19" s="4" t="s">
        <v>22</v>
      </c>
      <c r="C19" s="57" t="s">
        <v>334</v>
      </c>
      <c r="D19" s="53"/>
      <c r="E19" s="53"/>
      <c r="F19" s="53"/>
      <c r="G19" s="53"/>
      <c r="H19" s="53"/>
      <c r="I19" s="54"/>
      <c r="J19" s="55" t="s">
        <v>39</v>
      </c>
      <c r="K19" s="55"/>
      <c r="L19" s="10"/>
      <c r="M19" s="10"/>
      <c r="N19" s="10"/>
      <c r="O19" s="10"/>
      <c r="P19" s="10"/>
    </row>
    <row r="20" spans="1:16" ht="28.5" customHeight="1" x14ac:dyDescent="0.3">
      <c r="A20" s="11" t="s">
        <v>224</v>
      </c>
      <c r="B20" s="4" t="s">
        <v>25</v>
      </c>
      <c r="C20" s="53" t="s">
        <v>335</v>
      </c>
      <c r="D20" s="53"/>
      <c r="E20" s="53"/>
      <c r="F20" s="53"/>
      <c r="G20" s="53"/>
      <c r="H20" s="53"/>
      <c r="I20" s="54"/>
      <c r="J20" s="55" t="s">
        <v>40</v>
      </c>
      <c r="K20" s="55"/>
      <c r="L20" s="10"/>
      <c r="M20" s="10"/>
      <c r="N20" s="10"/>
      <c r="O20" s="10"/>
      <c r="P20" s="10"/>
    </row>
    <row r="21" spans="1:16" ht="78" customHeight="1" x14ac:dyDescent="0.3">
      <c r="A21" s="11" t="s">
        <v>225</v>
      </c>
      <c r="B21" s="4" t="s">
        <v>27</v>
      </c>
      <c r="C21" s="57" t="s">
        <v>336</v>
      </c>
      <c r="D21" s="53"/>
      <c r="E21" s="53"/>
      <c r="F21" s="53"/>
      <c r="G21" s="53"/>
      <c r="H21" s="53"/>
      <c r="I21" s="54"/>
      <c r="J21" s="55" t="s">
        <v>41</v>
      </c>
      <c r="K21" s="55"/>
      <c r="L21" s="10"/>
      <c r="M21" s="10"/>
      <c r="N21" s="10"/>
      <c r="O21" s="10"/>
      <c r="P21" s="10"/>
    </row>
    <row r="22" spans="1:16" ht="62.25" customHeight="1" x14ac:dyDescent="0.3">
      <c r="A22" s="11" t="s">
        <v>226</v>
      </c>
      <c r="B22" s="58" t="s">
        <v>28</v>
      </c>
      <c r="C22" s="57" t="s">
        <v>337</v>
      </c>
      <c r="D22" s="53"/>
      <c r="E22" s="53"/>
      <c r="F22" s="53"/>
      <c r="G22" s="53"/>
      <c r="H22" s="53"/>
      <c r="I22" s="54"/>
      <c r="J22" s="55" t="s">
        <v>229</v>
      </c>
      <c r="K22" s="55"/>
      <c r="L22" s="10"/>
      <c r="M22" s="10"/>
      <c r="N22" s="10"/>
      <c r="O22" s="10"/>
      <c r="P22" s="10"/>
    </row>
    <row r="23" spans="1:16" ht="62.25" customHeight="1" x14ac:dyDescent="0.3">
      <c r="A23" s="11" t="s">
        <v>227</v>
      </c>
      <c r="B23" s="58"/>
      <c r="C23" s="57" t="s">
        <v>338</v>
      </c>
      <c r="D23" s="53"/>
      <c r="E23" s="53"/>
      <c r="F23" s="53"/>
      <c r="G23" s="53"/>
      <c r="H23" s="53"/>
      <c r="I23" s="54"/>
      <c r="J23" s="55" t="s">
        <v>230</v>
      </c>
      <c r="K23" s="55"/>
      <c r="L23" s="10"/>
      <c r="M23" s="10"/>
      <c r="N23" s="10"/>
      <c r="O23" s="10"/>
      <c r="P23" s="10"/>
    </row>
    <row r="24" spans="1:16" ht="62.25" customHeight="1" x14ac:dyDescent="0.3">
      <c r="A24" s="11" t="s">
        <v>228</v>
      </c>
      <c r="B24" s="58"/>
      <c r="C24" s="57" t="s">
        <v>339</v>
      </c>
      <c r="D24" s="53"/>
      <c r="E24" s="53"/>
      <c r="F24" s="53"/>
      <c r="G24" s="53"/>
      <c r="H24" s="53"/>
      <c r="I24" s="54"/>
      <c r="J24" s="55" t="s">
        <v>231</v>
      </c>
      <c r="K24" s="55"/>
      <c r="L24" s="10"/>
      <c r="M24" s="10"/>
      <c r="N24" s="10"/>
      <c r="O24" s="10"/>
      <c r="P24" s="10"/>
    </row>
    <row r="25" spans="1:16" ht="83.25" customHeight="1" x14ac:dyDescent="0.3">
      <c r="A25" s="11" t="s">
        <v>232</v>
      </c>
      <c r="B25" s="6" t="s">
        <v>29</v>
      </c>
      <c r="C25" s="57" t="s">
        <v>340</v>
      </c>
      <c r="D25" s="53"/>
      <c r="E25" s="53"/>
      <c r="F25" s="53"/>
      <c r="G25" s="53"/>
      <c r="H25" s="53"/>
      <c r="I25" s="54"/>
      <c r="J25" s="55" t="s">
        <v>45</v>
      </c>
      <c r="K25" s="55"/>
      <c r="L25" s="10"/>
      <c r="M25" s="10"/>
      <c r="N25" s="10"/>
      <c r="O25" s="10"/>
      <c r="P25" s="10"/>
    </row>
    <row r="26" spans="1:16" ht="47.25" customHeight="1" x14ac:dyDescent="0.3">
      <c r="A26" s="11" t="s">
        <v>237</v>
      </c>
      <c r="B26" s="6" t="s">
        <v>46</v>
      </c>
      <c r="C26" s="57" t="s">
        <v>341</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376</v>
      </c>
      <c r="D29" s="53"/>
      <c r="E29" s="53"/>
      <c r="F29" s="53"/>
      <c r="G29" s="53"/>
      <c r="H29" s="53"/>
      <c r="I29" s="54"/>
      <c r="J29" s="55" t="s">
        <v>360</v>
      </c>
      <c r="K29" s="55"/>
      <c r="L29" s="10"/>
      <c r="M29" s="10"/>
      <c r="N29" s="10"/>
      <c r="O29" s="10"/>
      <c r="P29" s="10"/>
    </row>
    <row r="30" spans="1:16" ht="93.75" customHeight="1" x14ac:dyDescent="0.3">
      <c r="A30" s="11" t="s">
        <v>382</v>
      </c>
      <c r="B30" s="40" t="s">
        <v>361</v>
      </c>
      <c r="C30" s="57" t="s">
        <v>377</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F562938-DDD8-4F06-876E-C5CFCC3EADE5}">
          <x14:formula1>
            <xm:f>통합!$A$3:$A$44</xm:f>
          </x14:formula1>
          <xm:sqref>J34:J65 C2:I2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21D8-EFDD-4065-8F00-DF2D896BC574}">
  <dimension ref="A1:P130"/>
  <sheetViews>
    <sheetView topLeftCell="A23" zoomScaleNormal="100" workbookViewId="0">
      <selection activeCell="A30" sqref="A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342</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F66&amp;"시간( "&amp;K119&amp;"일)"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t="s">
        <v>343</v>
      </c>
      <c r="D13" s="53"/>
      <c r="E13" s="53"/>
      <c r="F13" s="53"/>
      <c r="G13" s="53"/>
      <c r="H13" s="53"/>
      <c r="I13" s="54"/>
      <c r="J13" s="55" t="s">
        <v>37</v>
      </c>
      <c r="K13" s="55"/>
      <c r="L13" s="10"/>
      <c r="M13" s="10"/>
      <c r="N13" s="10"/>
      <c r="O13" s="10"/>
      <c r="P13" s="10"/>
    </row>
    <row r="14" spans="1:16" ht="21.75" customHeight="1" x14ac:dyDescent="0.3">
      <c r="A14" s="11" t="s">
        <v>234</v>
      </c>
      <c r="B14" s="4" t="s">
        <v>235</v>
      </c>
      <c r="C14" s="53" t="s">
        <v>344</v>
      </c>
      <c r="D14" s="53"/>
      <c r="E14" s="53"/>
      <c r="F14" s="53"/>
      <c r="G14" s="53"/>
      <c r="H14" s="53"/>
      <c r="I14" s="54"/>
      <c r="J14" s="55" t="s">
        <v>236</v>
      </c>
      <c r="K14" s="55"/>
      <c r="L14" s="10"/>
      <c r="M14" s="10"/>
      <c r="N14" s="10"/>
      <c r="O14" s="10"/>
      <c r="P14" s="10"/>
    </row>
    <row r="15" spans="1:16" ht="21.75" customHeight="1" x14ac:dyDescent="0.3">
      <c r="A15" s="11" t="s">
        <v>193</v>
      </c>
      <c r="B15" s="4" t="s">
        <v>189</v>
      </c>
      <c r="C15" s="53" t="s">
        <v>345</v>
      </c>
      <c r="D15" s="53"/>
      <c r="E15" s="53"/>
      <c r="F15" s="53"/>
      <c r="G15" s="53"/>
      <c r="H15" s="53"/>
      <c r="I15" s="54"/>
      <c r="J15" s="55" t="s">
        <v>188</v>
      </c>
      <c r="K15" s="55"/>
      <c r="L15" s="10"/>
      <c r="M15" s="10"/>
      <c r="N15" s="10"/>
      <c r="O15" s="10"/>
      <c r="P15" s="10"/>
    </row>
    <row r="16" spans="1:16" ht="21.75" customHeight="1" x14ac:dyDescent="0.3">
      <c r="A16" s="11" t="s">
        <v>192</v>
      </c>
      <c r="B16" s="4" t="s">
        <v>190</v>
      </c>
      <c r="C16" s="53" t="s">
        <v>346</v>
      </c>
      <c r="D16" s="53"/>
      <c r="E16" s="53"/>
      <c r="F16" s="53"/>
      <c r="G16" s="53"/>
      <c r="H16" s="53"/>
      <c r="I16" s="54"/>
      <c r="J16" s="55" t="s">
        <v>191</v>
      </c>
      <c r="K16" s="55"/>
      <c r="L16" s="10"/>
      <c r="M16" s="10"/>
      <c r="N16" s="10"/>
      <c r="O16" s="10"/>
      <c r="P16" s="10"/>
    </row>
    <row r="17" spans="1:16" ht="48.75" customHeight="1" x14ac:dyDescent="0.3">
      <c r="A17" s="11" t="s">
        <v>182</v>
      </c>
      <c r="B17" s="4" t="s">
        <v>217</v>
      </c>
      <c r="C17" s="53" t="s">
        <v>347</v>
      </c>
      <c r="D17" s="53"/>
      <c r="E17" s="53"/>
      <c r="F17" s="53"/>
      <c r="G17" s="53"/>
      <c r="H17" s="53"/>
      <c r="I17" s="54"/>
      <c r="J17" s="55" t="s">
        <v>181</v>
      </c>
      <c r="K17" s="55"/>
      <c r="L17" s="10"/>
      <c r="M17" s="10"/>
      <c r="N17" s="10"/>
      <c r="O17" s="10"/>
      <c r="P17" s="10"/>
    </row>
    <row r="18" spans="1:16" ht="48.75" customHeight="1" x14ac:dyDescent="0.3">
      <c r="A18" s="11" t="s">
        <v>194</v>
      </c>
      <c r="B18" s="4" t="s">
        <v>218</v>
      </c>
      <c r="C18" s="53" t="s">
        <v>348</v>
      </c>
      <c r="D18" s="53"/>
      <c r="E18" s="53"/>
      <c r="F18" s="53"/>
      <c r="G18" s="53"/>
      <c r="H18" s="53"/>
      <c r="I18" s="54"/>
      <c r="J18" s="55" t="s">
        <v>181</v>
      </c>
      <c r="K18" s="55"/>
      <c r="L18" s="10"/>
      <c r="M18" s="10"/>
      <c r="N18" s="10"/>
      <c r="O18" s="10"/>
      <c r="P18" s="10"/>
    </row>
    <row r="19" spans="1:16" ht="44.25" customHeight="1" x14ac:dyDescent="0.3">
      <c r="A19" s="11" t="s">
        <v>221</v>
      </c>
      <c r="B19" s="4" t="s">
        <v>22</v>
      </c>
      <c r="C19" s="57" t="s">
        <v>349</v>
      </c>
      <c r="D19" s="53"/>
      <c r="E19" s="53"/>
      <c r="F19" s="53"/>
      <c r="G19" s="53"/>
      <c r="H19" s="53"/>
      <c r="I19" s="54"/>
      <c r="J19" s="55" t="s">
        <v>39</v>
      </c>
      <c r="K19" s="55"/>
      <c r="L19" s="10"/>
      <c r="M19" s="10"/>
      <c r="N19" s="10"/>
      <c r="O19" s="10"/>
      <c r="P19" s="10"/>
    </row>
    <row r="20" spans="1:16" ht="28.5" customHeight="1" x14ac:dyDescent="0.3">
      <c r="A20" s="11" t="s">
        <v>224</v>
      </c>
      <c r="B20" s="4" t="s">
        <v>25</v>
      </c>
      <c r="C20" s="53" t="s">
        <v>350</v>
      </c>
      <c r="D20" s="53"/>
      <c r="E20" s="53"/>
      <c r="F20" s="53"/>
      <c r="G20" s="53"/>
      <c r="H20" s="53"/>
      <c r="I20" s="54"/>
      <c r="J20" s="55" t="s">
        <v>40</v>
      </c>
      <c r="K20" s="55"/>
      <c r="L20" s="10"/>
      <c r="M20" s="10"/>
      <c r="N20" s="10"/>
      <c r="O20" s="10"/>
      <c r="P20" s="10"/>
    </row>
    <row r="21" spans="1:16" ht="78" customHeight="1" x14ac:dyDescent="0.3">
      <c r="A21" s="11" t="s">
        <v>225</v>
      </c>
      <c r="B21" s="4" t="s">
        <v>27</v>
      </c>
      <c r="C21" s="57" t="s">
        <v>351</v>
      </c>
      <c r="D21" s="53"/>
      <c r="E21" s="53"/>
      <c r="F21" s="53"/>
      <c r="G21" s="53"/>
      <c r="H21" s="53"/>
      <c r="I21" s="54"/>
      <c r="J21" s="55" t="s">
        <v>41</v>
      </c>
      <c r="K21" s="55"/>
      <c r="L21" s="10"/>
      <c r="M21" s="10"/>
      <c r="N21" s="10"/>
      <c r="O21" s="10"/>
      <c r="P21" s="10"/>
    </row>
    <row r="22" spans="1:16" ht="62.25" customHeight="1" x14ac:dyDescent="0.3">
      <c r="A22" s="11" t="s">
        <v>226</v>
      </c>
      <c r="B22" s="58" t="s">
        <v>28</v>
      </c>
      <c r="C22" s="57" t="s">
        <v>352</v>
      </c>
      <c r="D22" s="53"/>
      <c r="E22" s="53"/>
      <c r="F22" s="53"/>
      <c r="G22" s="53"/>
      <c r="H22" s="53"/>
      <c r="I22" s="54"/>
      <c r="J22" s="55" t="s">
        <v>229</v>
      </c>
      <c r="K22" s="55"/>
      <c r="L22" s="10"/>
      <c r="M22" s="10"/>
      <c r="N22" s="10"/>
      <c r="O22" s="10"/>
      <c r="P22" s="10"/>
    </row>
    <row r="23" spans="1:16" ht="62.25" customHeight="1" x14ac:dyDescent="0.3">
      <c r="A23" s="11" t="s">
        <v>227</v>
      </c>
      <c r="B23" s="58"/>
      <c r="C23" s="57" t="s">
        <v>353</v>
      </c>
      <c r="D23" s="53"/>
      <c r="E23" s="53"/>
      <c r="F23" s="53"/>
      <c r="G23" s="53"/>
      <c r="H23" s="53"/>
      <c r="I23" s="54"/>
      <c r="J23" s="55" t="s">
        <v>230</v>
      </c>
      <c r="K23" s="55"/>
      <c r="L23" s="10"/>
      <c r="M23" s="10"/>
      <c r="N23" s="10"/>
      <c r="O23" s="10"/>
      <c r="P23" s="10"/>
    </row>
    <row r="24" spans="1:16" ht="62.25" customHeight="1" x14ac:dyDescent="0.3">
      <c r="A24" s="11" t="s">
        <v>228</v>
      </c>
      <c r="B24" s="58"/>
      <c r="C24" s="57" t="s">
        <v>354</v>
      </c>
      <c r="D24" s="53"/>
      <c r="E24" s="53"/>
      <c r="F24" s="53"/>
      <c r="G24" s="53"/>
      <c r="H24" s="53"/>
      <c r="I24" s="54"/>
      <c r="J24" s="55" t="s">
        <v>231</v>
      </c>
      <c r="K24" s="55"/>
      <c r="L24" s="10"/>
      <c r="M24" s="10"/>
      <c r="N24" s="10"/>
      <c r="O24" s="10"/>
      <c r="P24" s="10"/>
    </row>
    <row r="25" spans="1:16" ht="83.25" customHeight="1" x14ac:dyDescent="0.3">
      <c r="A25" s="11" t="s">
        <v>232</v>
      </c>
      <c r="B25" s="6" t="s">
        <v>29</v>
      </c>
      <c r="C25" s="57" t="s">
        <v>355</v>
      </c>
      <c r="D25" s="53"/>
      <c r="E25" s="53"/>
      <c r="F25" s="53"/>
      <c r="G25" s="53"/>
      <c r="H25" s="53"/>
      <c r="I25" s="54"/>
      <c r="J25" s="55" t="s">
        <v>45</v>
      </c>
      <c r="K25" s="55"/>
      <c r="L25" s="10"/>
      <c r="M25" s="10"/>
      <c r="N25" s="10"/>
      <c r="O25" s="10"/>
      <c r="P25" s="10"/>
    </row>
    <row r="26" spans="1:16" ht="47.25" customHeight="1" x14ac:dyDescent="0.3">
      <c r="A26" s="11" t="s">
        <v>237</v>
      </c>
      <c r="B26" s="6" t="s">
        <v>46</v>
      </c>
      <c r="C26" s="57" t="s">
        <v>356</v>
      </c>
      <c r="D26" s="53"/>
      <c r="E26" s="53"/>
      <c r="F26" s="53"/>
      <c r="G26" s="53"/>
      <c r="H26" s="53"/>
      <c r="I26" s="54"/>
      <c r="J26" s="55" t="s">
        <v>47</v>
      </c>
      <c r="K26" s="55"/>
      <c r="L26" s="10"/>
      <c r="M26" s="10"/>
      <c r="N26" s="10"/>
      <c r="O26" s="10"/>
      <c r="P26" s="10"/>
    </row>
    <row r="27" spans="1:16" ht="29.25" customHeight="1" x14ac:dyDescent="0.3">
      <c r="A27" s="11" t="s">
        <v>233</v>
      </c>
      <c r="B27" s="4" t="s">
        <v>26</v>
      </c>
      <c r="C27" s="53" t="s">
        <v>48</v>
      </c>
      <c r="D27" s="53"/>
      <c r="E27" s="53"/>
      <c r="F27" s="53"/>
      <c r="G27" s="53"/>
      <c r="H27" s="53"/>
      <c r="I27" s="54"/>
      <c r="J27" s="55" t="s">
        <v>48</v>
      </c>
      <c r="K27" s="55"/>
      <c r="L27" s="10"/>
      <c r="M27" s="10"/>
      <c r="N27" s="10"/>
      <c r="O27" s="10"/>
      <c r="P27" s="10"/>
    </row>
    <row r="28" spans="1:16" ht="218.25" customHeight="1" x14ac:dyDescent="0.3">
      <c r="A28" s="11" t="s">
        <v>380</v>
      </c>
      <c r="B28" s="39" t="s">
        <v>239</v>
      </c>
      <c r="C28" s="57" t="s">
        <v>363</v>
      </c>
      <c r="D28" s="53"/>
      <c r="E28" s="53"/>
      <c r="F28" s="53"/>
      <c r="G28" s="53"/>
      <c r="H28" s="53"/>
      <c r="I28" s="54"/>
      <c r="J28" s="55" t="s">
        <v>240</v>
      </c>
      <c r="K28" s="55"/>
      <c r="L28" s="10"/>
      <c r="M28" s="10"/>
      <c r="N28" s="10"/>
      <c r="O28" s="10"/>
      <c r="P28" s="10"/>
    </row>
    <row r="29" spans="1:16" ht="93.75" customHeight="1" x14ac:dyDescent="0.3">
      <c r="A29" s="11" t="s">
        <v>381</v>
      </c>
      <c r="B29" s="40" t="s">
        <v>359</v>
      </c>
      <c r="C29" s="57" t="s">
        <v>378</v>
      </c>
      <c r="D29" s="53"/>
      <c r="E29" s="53"/>
      <c r="F29" s="53"/>
      <c r="G29" s="53"/>
      <c r="H29" s="53"/>
      <c r="I29" s="54"/>
      <c r="J29" s="55" t="s">
        <v>360</v>
      </c>
      <c r="K29" s="55"/>
      <c r="L29" s="10"/>
      <c r="M29" s="10"/>
      <c r="N29" s="10"/>
      <c r="O29" s="10"/>
      <c r="P29" s="10"/>
    </row>
    <row r="30" spans="1:16" ht="93.75" customHeight="1" x14ac:dyDescent="0.3">
      <c r="A30" s="11" t="s">
        <v>382</v>
      </c>
      <c r="B30" s="40" t="s">
        <v>361</v>
      </c>
      <c r="C30" s="57" t="s">
        <v>379</v>
      </c>
      <c r="D30" s="53"/>
      <c r="E30" s="53"/>
      <c r="F30" s="53"/>
      <c r="G30" s="53"/>
      <c r="H30" s="53"/>
      <c r="I30" s="54"/>
      <c r="J30" s="55" t="s">
        <v>362</v>
      </c>
      <c r="K30" s="55"/>
      <c r="L30" s="10"/>
      <c r="M30" s="10"/>
      <c r="N30" s="10"/>
      <c r="O30" s="10"/>
      <c r="P30" s="10"/>
    </row>
    <row r="31" spans="1:16" ht="22.5" customHeight="1" x14ac:dyDescent="0.3"/>
    <row r="32" spans="1:16" ht="22.5" customHeight="1" x14ac:dyDescent="0.3"/>
    <row r="33" spans="3:10" ht="22.5" customHeight="1" x14ac:dyDescent="0.3">
      <c r="D33" s="5" t="s">
        <v>10</v>
      </c>
      <c r="E33" s="5" t="s">
        <v>13</v>
      </c>
      <c r="F33" s="5" t="s">
        <v>15</v>
      </c>
      <c r="G33" s="5" t="s">
        <v>11</v>
      </c>
      <c r="H33" s="5" t="s">
        <v>12</v>
      </c>
      <c r="I33" s="5" t="s">
        <v>15</v>
      </c>
    </row>
    <row r="34" spans="3:10" ht="22.5" customHeight="1" x14ac:dyDescent="0.3">
      <c r="C34" s="9" t="str">
        <f>IFERROR(G34,"")</f>
        <v>2001010211_16v3.1</v>
      </c>
      <c r="D34" s="37" t="str">
        <f>VLOOKUP(J34,통합!$A$3:$H$44,6,FALSE)</f>
        <v>1903090101_21v2</v>
      </c>
      <c r="E34" s="37" t="str">
        <f>VLOOKUP(J34,통합!$A$3:$H$44,8,FALSE)</f>
        <v>의료기기 품질문서 개발</v>
      </c>
      <c r="F34" s="8">
        <f>IF(COUNTIF($D$69:$D$118,D34)=0,"",COUNTIF($D$69:$D$118,D34))</f>
        <v>1</v>
      </c>
      <c r="G34" s="13" t="s">
        <v>50</v>
      </c>
      <c r="H34" s="13" t="s">
        <v>51</v>
      </c>
      <c r="I34" s="8">
        <f>IF(COUNTIF($G$69:$G$118,G34)=0,"",COUNTIF($G$69:$G$118,G34))</f>
        <v>1</v>
      </c>
      <c r="J34" s="11" t="s">
        <v>223</v>
      </c>
    </row>
    <row r="35" spans="3:10" ht="22.5" customHeight="1" x14ac:dyDescent="0.3">
      <c r="C35" s="9">
        <f t="shared" ref="C35:C65" si="0">IFERROR(G35,"")</f>
        <v>0</v>
      </c>
      <c r="D35" s="37"/>
      <c r="E35" s="37"/>
      <c r="F35" s="8" t="str">
        <f t="shared" ref="F35:F65" si="1">IF(COUNTIF($D$69:$D$118,D35)=0,"",COUNTIF($D$69:$D$118,D35))</f>
        <v/>
      </c>
      <c r="G35" s="13"/>
      <c r="H35" s="13"/>
      <c r="I35" s="8" t="str">
        <f t="shared" ref="I35:I65" si="2">IF(COUNTIF($G$69:$G$118,G35)=0,"",COUNTIF($G$69:$G$118,G35))</f>
        <v/>
      </c>
    </row>
    <row r="36" spans="3:10" ht="22.5" customHeight="1" x14ac:dyDescent="0.3">
      <c r="C36" s="9">
        <f t="shared" si="0"/>
        <v>0</v>
      </c>
      <c r="D36" s="37"/>
      <c r="E36" s="37"/>
      <c r="F36" s="8" t="str">
        <f t="shared" si="1"/>
        <v/>
      </c>
      <c r="G36" s="14"/>
      <c r="H36" s="13"/>
      <c r="I36" s="8" t="str">
        <f t="shared" si="2"/>
        <v/>
      </c>
    </row>
    <row r="37" spans="3:10" ht="22.5" customHeight="1" x14ac:dyDescent="0.3">
      <c r="C37" s="9">
        <f t="shared" si="0"/>
        <v>0</v>
      </c>
      <c r="D37" s="37"/>
      <c r="E37" s="37"/>
      <c r="F37" s="8" t="str">
        <f t="shared" si="1"/>
        <v/>
      </c>
      <c r="G37" s="13"/>
      <c r="H37" s="13"/>
      <c r="I37" s="8" t="str">
        <f t="shared" si="2"/>
        <v/>
      </c>
    </row>
    <row r="38" spans="3:10" ht="22.5" customHeight="1" x14ac:dyDescent="0.3">
      <c r="C38" s="9">
        <f t="shared" si="0"/>
        <v>0</v>
      </c>
      <c r="D38" s="37"/>
      <c r="E38" s="37"/>
      <c r="F38" s="8" t="str">
        <f t="shared" si="1"/>
        <v/>
      </c>
      <c r="G38" s="13"/>
      <c r="H38" s="13"/>
      <c r="I38" s="8" t="str">
        <f t="shared" si="2"/>
        <v/>
      </c>
    </row>
    <row r="39" spans="3:10" ht="22.5" customHeight="1" x14ac:dyDescent="0.3">
      <c r="C39" s="9">
        <f t="shared" si="0"/>
        <v>0</v>
      </c>
      <c r="D39" s="37"/>
      <c r="E39" s="37"/>
      <c r="F39" s="8" t="str">
        <f t="shared" si="1"/>
        <v/>
      </c>
      <c r="G39" s="13"/>
      <c r="H39" s="13"/>
      <c r="I39" s="8" t="str">
        <f t="shared" si="2"/>
        <v/>
      </c>
    </row>
    <row r="40" spans="3:10" ht="22.5" customHeight="1" x14ac:dyDescent="0.3">
      <c r="C40" s="9">
        <f t="shared" si="0"/>
        <v>0</v>
      </c>
      <c r="D40" s="37"/>
      <c r="E40" s="37"/>
      <c r="F40" s="8" t="str">
        <f t="shared" si="1"/>
        <v/>
      </c>
      <c r="G40" s="13"/>
      <c r="H40" s="13"/>
      <c r="I40" s="8" t="str">
        <f t="shared" si="2"/>
        <v/>
      </c>
    </row>
    <row r="41" spans="3:10" ht="22.5" customHeight="1" x14ac:dyDescent="0.3">
      <c r="C41" s="9">
        <f t="shared" si="0"/>
        <v>0</v>
      </c>
      <c r="D41" s="37"/>
      <c r="E41" s="37"/>
      <c r="F41" s="8" t="str">
        <f t="shared" si="1"/>
        <v/>
      </c>
      <c r="G41" s="13"/>
      <c r="H41" s="13"/>
      <c r="I41" s="8" t="str">
        <f t="shared" si="2"/>
        <v/>
      </c>
    </row>
    <row r="42" spans="3:10" ht="22.5" customHeight="1" x14ac:dyDescent="0.3">
      <c r="C42" s="9">
        <f t="shared" si="0"/>
        <v>0</v>
      </c>
      <c r="D42" s="37"/>
      <c r="E42" s="37"/>
      <c r="F42" s="8" t="str">
        <f t="shared" si="1"/>
        <v/>
      </c>
      <c r="G42" s="13"/>
      <c r="H42" s="13"/>
      <c r="I42" s="8" t="str">
        <f t="shared" si="2"/>
        <v/>
      </c>
    </row>
    <row r="43" spans="3:10" ht="22.5" customHeight="1" x14ac:dyDescent="0.3">
      <c r="C43" s="9">
        <f t="shared" si="0"/>
        <v>0</v>
      </c>
      <c r="D43" s="37"/>
      <c r="E43" s="37"/>
      <c r="F43" s="8" t="str">
        <f t="shared" si="1"/>
        <v/>
      </c>
      <c r="G43" s="13"/>
      <c r="H43" s="13"/>
      <c r="I43" s="8" t="str">
        <f t="shared" si="2"/>
        <v/>
      </c>
    </row>
    <row r="44" spans="3:10" ht="22.5" customHeight="1" x14ac:dyDescent="0.3">
      <c r="C44" s="9">
        <f t="shared" si="0"/>
        <v>0</v>
      </c>
      <c r="D44" s="37"/>
      <c r="E44" s="37"/>
      <c r="F44" s="8" t="str">
        <f t="shared" si="1"/>
        <v/>
      </c>
      <c r="G44" s="13"/>
      <c r="H44" s="13"/>
      <c r="I44" s="8" t="str">
        <f t="shared" si="2"/>
        <v/>
      </c>
    </row>
    <row r="45" spans="3:10" ht="22.5" customHeight="1" x14ac:dyDescent="0.3">
      <c r="C45" s="9">
        <f t="shared" si="0"/>
        <v>0</v>
      </c>
      <c r="D45" s="37"/>
      <c r="E45" s="37"/>
      <c r="F45" s="8" t="str">
        <f t="shared" si="1"/>
        <v/>
      </c>
      <c r="G45" s="13"/>
      <c r="H45" s="13"/>
      <c r="I45" s="8" t="str">
        <f t="shared" si="2"/>
        <v/>
      </c>
    </row>
    <row r="46" spans="3:10" ht="22.5" customHeight="1" x14ac:dyDescent="0.3">
      <c r="C46" s="9">
        <f t="shared" si="0"/>
        <v>0</v>
      </c>
      <c r="D46" s="37"/>
      <c r="E46" s="37"/>
      <c r="F46" s="8" t="str">
        <f t="shared" si="1"/>
        <v/>
      </c>
      <c r="G46" s="13"/>
      <c r="H46" s="13"/>
      <c r="I46" s="8" t="str">
        <f t="shared" si="2"/>
        <v/>
      </c>
    </row>
    <row r="47" spans="3:10" ht="22.5" customHeight="1" x14ac:dyDescent="0.3">
      <c r="C47" s="9">
        <f t="shared" si="0"/>
        <v>0</v>
      </c>
      <c r="D47" s="37"/>
      <c r="E47" s="37"/>
      <c r="F47" s="8" t="str">
        <f t="shared" si="1"/>
        <v/>
      </c>
      <c r="G47" s="13"/>
      <c r="H47" s="13"/>
      <c r="I47" s="8" t="str">
        <f t="shared" si="2"/>
        <v/>
      </c>
    </row>
    <row r="48" spans="3:10"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 t="shared" si="2"/>
        <v/>
      </c>
    </row>
    <row r="53" spans="3:9" ht="22.5" customHeight="1" x14ac:dyDescent="0.3">
      <c r="C53" s="9">
        <f t="shared" si="0"/>
        <v>0</v>
      </c>
      <c r="D53" s="37"/>
      <c r="E53" s="37"/>
      <c r="F53" s="8" t="str">
        <f t="shared" si="1"/>
        <v/>
      </c>
      <c r="G53" s="13"/>
      <c r="H53" s="13"/>
      <c r="I53" s="8" t="str">
        <f t="shared" si="2"/>
        <v/>
      </c>
    </row>
    <row r="54" spans="3:9" ht="22.5" customHeight="1" x14ac:dyDescent="0.3">
      <c r="C54" s="9">
        <f t="shared" si="0"/>
        <v>0</v>
      </c>
      <c r="D54" s="37"/>
      <c r="E54" s="37"/>
      <c r="F54" s="8" t="str">
        <f t="shared" si="1"/>
        <v/>
      </c>
      <c r="G54" s="13"/>
      <c r="H54" s="13"/>
      <c r="I54" s="8" t="str">
        <f>IF(COUNTIF($G$69:$G$118,#REF!)=0,"",COUNTIF($G$69:$G$118,#REF!))</f>
        <v/>
      </c>
    </row>
    <row r="55" spans="3:9" ht="22.5" customHeight="1" x14ac:dyDescent="0.3">
      <c r="C55" s="9">
        <f t="shared" si="0"/>
        <v>0</v>
      </c>
      <c r="D55" s="37"/>
      <c r="E55" s="37"/>
      <c r="F55" s="8" t="str">
        <f t="shared" si="1"/>
        <v/>
      </c>
      <c r="H55" s="13"/>
      <c r="I55" s="8" t="str">
        <f>IF(COUNTIF($G$69:$G$118,G54)=0,"",COUNTIF($G$69:$G$118,G54))</f>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7"/>
      <c r="E63" s="37"/>
      <c r="F63" s="8" t="str">
        <f t="shared" si="1"/>
        <v/>
      </c>
      <c r="G63" s="13"/>
      <c r="H63" s="13"/>
      <c r="I63" s="8" t="str">
        <f t="shared" si="2"/>
        <v/>
      </c>
    </row>
    <row r="64" spans="3:9" ht="22.5" customHeight="1" x14ac:dyDescent="0.3">
      <c r="C64" s="9">
        <f t="shared" si="0"/>
        <v>0</v>
      </c>
      <c r="D64" s="37"/>
      <c r="E64" s="37"/>
      <c r="F64" s="8" t="str">
        <f t="shared" si="1"/>
        <v/>
      </c>
      <c r="G64" s="13"/>
      <c r="H64" s="13"/>
      <c r="I64" s="8" t="str">
        <f t="shared" si="2"/>
        <v/>
      </c>
    </row>
    <row r="65" spans="2:11" ht="22.5" customHeight="1" x14ac:dyDescent="0.3">
      <c r="C65" s="9">
        <f t="shared" si="0"/>
        <v>0</v>
      </c>
      <c r="D65" s="38"/>
      <c r="E65" s="38"/>
      <c r="F65" s="34" t="str">
        <f t="shared" si="1"/>
        <v/>
      </c>
      <c r="G65" s="33"/>
      <c r="H65" s="33"/>
      <c r="I65" s="34" t="str">
        <f t="shared" si="2"/>
        <v/>
      </c>
    </row>
    <row r="66" spans="2:11" ht="22.5" customHeight="1" x14ac:dyDescent="0.3">
      <c r="C66" s="8" t="s">
        <v>184</v>
      </c>
      <c r="D66" s="13"/>
      <c r="E66" s="13"/>
      <c r="F66" s="35">
        <f>SUM(F34:F65)</f>
        <v>1</v>
      </c>
      <c r="G66" s="13"/>
      <c r="H66" s="13"/>
      <c r="I66" s="35">
        <f>SUM(I34:I65)</f>
        <v>1</v>
      </c>
    </row>
    <row r="67" spans="2:11" ht="22.5" customHeight="1" x14ac:dyDescent="0.3">
      <c r="C67" s="8"/>
      <c r="D67" s="13"/>
      <c r="E67" s="13"/>
      <c r="F67" s="8"/>
      <c r="G67" s="13"/>
      <c r="H67" s="13"/>
      <c r="I67" s="8"/>
    </row>
    <row r="68" spans="2:11" ht="22.5" customHeight="1" x14ac:dyDescent="0.3"/>
    <row r="69" spans="2:11" ht="22.5" customHeight="1" x14ac:dyDescent="0.3">
      <c r="B69" s="41" t="s">
        <v>9</v>
      </c>
      <c r="C69" s="5" t="s">
        <v>8</v>
      </c>
      <c r="D69" s="5" t="s">
        <v>10</v>
      </c>
      <c r="E69" s="44" t="s">
        <v>13</v>
      </c>
      <c r="F69" s="45"/>
      <c r="G69" s="12" t="s">
        <v>11</v>
      </c>
      <c r="H69" s="44" t="s">
        <v>12</v>
      </c>
      <c r="I69" s="45"/>
      <c r="J69" s="12" t="s">
        <v>14</v>
      </c>
      <c r="K69" s="12" t="s">
        <v>31</v>
      </c>
    </row>
    <row r="70" spans="2:11" ht="22.5" customHeight="1" x14ac:dyDescent="0.3">
      <c r="B70" s="42"/>
      <c r="C70" s="1" t="s">
        <v>0</v>
      </c>
      <c r="D70" s="8" t="str">
        <f>IF(VLOOKUP(G70,$C$34:$E$65,2,FALSE)="","",VLOOKUP(G70,$C$34:$E$65,2,FALSE))</f>
        <v>1903090101_21v2</v>
      </c>
      <c r="E70" s="46" t="str">
        <f>IF(VLOOKUP(G70,$C$34:$E$65,3,FALSE)="","",VLOOKUP(G70,$C$34:$E$65,3,FALSE))</f>
        <v>의료기기 품질문서 개발</v>
      </c>
      <c r="F70" s="47"/>
      <c r="G70" s="13" t="s">
        <v>50</v>
      </c>
      <c r="H70" s="46" t="str">
        <f>IFERROR(VLOOKUP(G70,$G$34:$H$65,2,FALSE),"")</f>
        <v>하드웨어 분석하기</v>
      </c>
      <c r="I70" s="47"/>
      <c r="J70" s="15" t="s">
        <v>49</v>
      </c>
      <c r="K70" s="56"/>
    </row>
    <row r="71" spans="2:11" ht="22.5" customHeight="1" x14ac:dyDescent="0.3">
      <c r="B71" s="42"/>
      <c r="C71" s="1" t="s">
        <v>1</v>
      </c>
      <c r="D71" s="8" t="str">
        <f t="shared" ref="D71:D72" si="3">IF(VLOOKUP(G71,$C$34:$E$65,2,FALSE)="","",VLOOKUP(G71,$C$34:$E$65,2,FALSE))</f>
        <v/>
      </c>
      <c r="E71" s="46" t="str">
        <f t="shared" ref="E71:E72" si="4">IF(VLOOKUP(G71,$C$34:$E$65,3,FALSE)="","",VLOOKUP(G71,$C$34:$E$65,3,FALSE))</f>
        <v/>
      </c>
      <c r="F71" s="47"/>
      <c r="G71" s="13"/>
      <c r="H71" s="46" t="str">
        <f t="shared" ref="H71:H78" si="5">IFERROR(VLOOKUP(G71,$G$34:$H$65,2,FALSE),"")</f>
        <v/>
      </c>
      <c r="I71" s="47"/>
      <c r="J71" s="15"/>
      <c r="K71" s="49"/>
    </row>
    <row r="72" spans="2:11" ht="22.5" customHeight="1" x14ac:dyDescent="0.3">
      <c r="B72" s="42"/>
      <c r="C72" s="1" t="s">
        <v>2</v>
      </c>
      <c r="D72" s="8" t="str">
        <f t="shared" si="3"/>
        <v/>
      </c>
      <c r="E72" s="46" t="str">
        <f t="shared" si="4"/>
        <v/>
      </c>
      <c r="F72" s="47"/>
      <c r="G72" s="13"/>
      <c r="H72" s="46" t="str">
        <f t="shared" si="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IF(VLOOKUP(G74,$C$34:$E$65,2,FALSE)="","",VLOOKUP(G74,$C$34:$E$65,2,FALSE))</f>
        <v/>
      </c>
      <c r="E74" s="46" t="str">
        <f>IF(VLOOKUP(G74,$C$34:$E$65,3,FALSE)="","",VLOOKUP(G74,$C$34:$E$65,3,FALSE))</f>
        <v/>
      </c>
      <c r="F74" s="47"/>
      <c r="G74" s="13"/>
      <c r="H74" s="46" t="str">
        <f t="shared" si="5"/>
        <v/>
      </c>
      <c r="I74" s="47"/>
      <c r="J74" s="15"/>
      <c r="K74" s="49"/>
    </row>
    <row r="75" spans="2:11" ht="22.5" customHeight="1" x14ac:dyDescent="0.3">
      <c r="B75" s="42"/>
      <c r="C75" s="1" t="s">
        <v>4</v>
      </c>
      <c r="D75" s="8" t="str">
        <f t="shared" ref="D75:D78" si="6">IF(VLOOKUP(G75,$C$34:$E$65,2,FALSE)="","",VLOOKUP(G75,$C$34:$E$65,2,FALSE))</f>
        <v/>
      </c>
      <c r="E75" s="46" t="str">
        <f t="shared" ref="E75:E78" si="7">IF(VLOOKUP(G75,$C$34:$E$65,3,FALSE)="","",VLOOKUP(G75,$C$34:$E$65,3,FALSE))</f>
        <v/>
      </c>
      <c r="F75" s="47"/>
      <c r="G75" s="13"/>
      <c r="H75" s="46" t="str">
        <f t="shared" si="5"/>
        <v/>
      </c>
      <c r="I75" s="47"/>
      <c r="J75" s="15"/>
      <c r="K75" s="49"/>
    </row>
    <row r="76" spans="2:11" ht="22.5" customHeight="1" x14ac:dyDescent="0.3">
      <c r="B76" s="42"/>
      <c r="C76" s="1" t="s">
        <v>5</v>
      </c>
      <c r="D76" s="8" t="str">
        <f t="shared" si="6"/>
        <v/>
      </c>
      <c r="E76" s="46" t="str">
        <f t="shared" si="7"/>
        <v/>
      </c>
      <c r="F76" s="47"/>
      <c r="G76" s="13"/>
      <c r="H76" s="46" t="str">
        <f t="shared" si="5"/>
        <v/>
      </c>
      <c r="I76" s="47"/>
      <c r="J76" s="15"/>
      <c r="K76" s="49"/>
    </row>
    <row r="77" spans="2:11" ht="22.5" customHeight="1" x14ac:dyDescent="0.3">
      <c r="B77" s="42"/>
      <c r="C77" s="1" t="s">
        <v>6</v>
      </c>
      <c r="D77" s="8" t="str">
        <f t="shared" si="6"/>
        <v/>
      </c>
      <c r="E77" s="46" t="str">
        <f t="shared" si="7"/>
        <v/>
      </c>
      <c r="F77" s="47"/>
      <c r="G77" s="13"/>
      <c r="H77" s="46" t="str">
        <f t="shared" si="5"/>
        <v/>
      </c>
      <c r="I77" s="47"/>
      <c r="J77" s="15"/>
      <c r="K77" s="49"/>
    </row>
    <row r="78" spans="2:11" ht="22.5" customHeight="1" x14ac:dyDescent="0.3">
      <c r="B78" s="43"/>
      <c r="C78" s="1" t="s">
        <v>7</v>
      </c>
      <c r="D78" s="8" t="str">
        <f t="shared" si="6"/>
        <v/>
      </c>
      <c r="E78" s="46" t="str">
        <f t="shared" si="7"/>
        <v/>
      </c>
      <c r="F78" s="47"/>
      <c r="G78" s="13"/>
      <c r="H78" s="46" t="str">
        <f t="shared" si="5"/>
        <v/>
      </c>
      <c r="I78" s="47"/>
      <c r="J78" s="15"/>
      <c r="K78" s="50"/>
    </row>
    <row r="79" spans="2:11" ht="22.5" customHeight="1" x14ac:dyDescent="0.3">
      <c r="B79" s="41" t="s">
        <v>16</v>
      </c>
      <c r="C79" s="5" t="s">
        <v>8</v>
      </c>
      <c r="D79" s="5" t="s">
        <v>10</v>
      </c>
      <c r="E79" s="44" t="s">
        <v>13</v>
      </c>
      <c r="F79" s="45"/>
      <c r="G79" s="12" t="s">
        <v>11</v>
      </c>
      <c r="H79" s="44" t="s">
        <v>12</v>
      </c>
      <c r="I79" s="45"/>
      <c r="J79" s="12" t="s">
        <v>14</v>
      </c>
      <c r="K79" s="12" t="s">
        <v>32</v>
      </c>
    </row>
    <row r="80" spans="2:11" ht="22.5" customHeight="1" x14ac:dyDescent="0.3">
      <c r="B80" s="42"/>
      <c r="C80" s="1" t="s">
        <v>0</v>
      </c>
      <c r="D80" s="8" t="str">
        <f>IF(VLOOKUP(G80,$C$34:$E$65,2,FALSE)="","",VLOOKUP(G80,$C$34:$E$65,2,FALSE))</f>
        <v/>
      </c>
      <c r="E80" s="46" t="str">
        <f>IF(VLOOKUP(G80,$C$34:$E$65,3,FALSE)="","",VLOOKUP(G80,$C$34:$E$65,3,FALSE))</f>
        <v/>
      </c>
      <c r="F80" s="47"/>
      <c r="G80" s="13"/>
      <c r="H80" s="46" t="str">
        <f>IFERROR(VLOOKUP(G80,$G$34:$H$65,2,FALSE),"")</f>
        <v/>
      </c>
      <c r="I80" s="47"/>
      <c r="J80" s="15"/>
      <c r="K80" s="48"/>
    </row>
    <row r="81" spans="2:11" ht="22.5" customHeight="1" x14ac:dyDescent="0.3">
      <c r="B81" s="42"/>
      <c r="C81" s="1" t="s">
        <v>1</v>
      </c>
      <c r="D81" s="8" t="str">
        <f t="shared" ref="D81:D82" si="8">IF(VLOOKUP(G81,$C$34:$E$65,2,FALSE)="","",VLOOKUP(G81,$C$34:$E$65,2,FALSE))</f>
        <v/>
      </c>
      <c r="E81" s="46" t="str">
        <f t="shared" ref="E81:E82" si="9">IF(VLOOKUP(G81,$C$34:$E$65,3,FALSE)="","",VLOOKUP(G81,$C$34:$E$65,3,FALSE))</f>
        <v/>
      </c>
      <c r="F81" s="47"/>
      <c r="G81" s="13"/>
      <c r="H81" s="46" t="str">
        <f t="shared" ref="H81:H88" si="10">IFERROR(VLOOKUP(G81,$G$34:$H$65,2,FALSE),"")</f>
        <v/>
      </c>
      <c r="I81" s="47"/>
      <c r="J81" s="15"/>
      <c r="K81" s="49"/>
    </row>
    <row r="82" spans="2:11" ht="22.5" customHeight="1" x14ac:dyDescent="0.3">
      <c r="B82" s="42"/>
      <c r="C82" s="1" t="s">
        <v>2</v>
      </c>
      <c r="D82" s="8" t="str">
        <f t="shared" si="8"/>
        <v/>
      </c>
      <c r="E82" s="46" t="str">
        <f t="shared" si="9"/>
        <v/>
      </c>
      <c r="F82" s="47"/>
      <c r="G82" s="13"/>
      <c r="H82" s="46" t="str">
        <f t="shared" si="1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IF(VLOOKUP(G84,$C$34:$E$65,2,FALSE)="","",VLOOKUP(G84,$C$34:$E$65,2,FALSE))</f>
        <v/>
      </c>
      <c r="E84" s="46" t="str">
        <f>IF(VLOOKUP(G84,$C$34:$E$65,3,FALSE)="","",VLOOKUP(G84,$C$34:$E$65,3,FALSE))</f>
        <v/>
      </c>
      <c r="F84" s="47"/>
      <c r="G84" s="13"/>
      <c r="H84" s="46" t="str">
        <f t="shared" si="10"/>
        <v/>
      </c>
      <c r="I84" s="47"/>
      <c r="J84" s="15"/>
      <c r="K84" s="49"/>
    </row>
    <row r="85" spans="2:11" ht="22.5" customHeight="1" x14ac:dyDescent="0.3">
      <c r="B85" s="42"/>
      <c r="C85" s="1" t="s">
        <v>4</v>
      </c>
      <c r="D85" s="8" t="str">
        <f t="shared" ref="D85:D88" si="11">IF(VLOOKUP(G85,$C$34:$E$65,2,FALSE)="","",VLOOKUP(G85,$C$34:$E$65,2,FALSE))</f>
        <v/>
      </c>
      <c r="E85" s="46" t="str">
        <f t="shared" ref="E85:E88" si="12">IF(VLOOKUP(G85,$C$34:$E$65,3,FALSE)="","",VLOOKUP(G85,$C$34:$E$65,3,FALSE))</f>
        <v/>
      </c>
      <c r="F85" s="47"/>
      <c r="G85" s="13"/>
      <c r="H85" s="46" t="str">
        <f t="shared" si="10"/>
        <v/>
      </c>
      <c r="I85" s="47"/>
      <c r="J85" s="15"/>
      <c r="K85" s="49"/>
    </row>
    <row r="86" spans="2:11" ht="22.5" customHeight="1" x14ac:dyDescent="0.3">
      <c r="B86" s="42"/>
      <c r="C86" s="1" t="s">
        <v>5</v>
      </c>
      <c r="D86" s="8" t="str">
        <f t="shared" si="11"/>
        <v/>
      </c>
      <c r="E86" s="46" t="str">
        <f t="shared" si="12"/>
        <v/>
      </c>
      <c r="F86" s="47"/>
      <c r="G86" s="13"/>
      <c r="H86" s="46" t="str">
        <f t="shared" si="10"/>
        <v/>
      </c>
      <c r="I86" s="47"/>
      <c r="J86" s="15"/>
      <c r="K86" s="49"/>
    </row>
    <row r="87" spans="2:11" ht="22.5" customHeight="1" x14ac:dyDescent="0.3">
      <c r="B87" s="42"/>
      <c r="C87" s="1" t="s">
        <v>6</v>
      </c>
      <c r="D87" s="8" t="str">
        <f t="shared" si="11"/>
        <v/>
      </c>
      <c r="E87" s="46" t="str">
        <f t="shared" si="12"/>
        <v/>
      </c>
      <c r="F87" s="47"/>
      <c r="G87" s="13"/>
      <c r="H87" s="46" t="str">
        <f t="shared" si="10"/>
        <v/>
      </c>
      <c r="I87" s="47"/>
      <c r="J87" s="15"/>
      <c r="K87" s="49"/>
    </row>
    <row r="88" spans="2:11" ht="22.5" customHeight="1" x14ac:dyDescent="0.3">
      <c r="B88" s="43"/>
      <c r="C88" s="1" t="s">
        <v>7</v>
      </c>
      <c r="D88" s="8" t="str">
        <f t="shared" si="11"/>
        <v/>
      </c>
      <c r="E88" s="46" t="str">
        <f t="shared" si="12"/>
        <v/>
      </c>
      <c r="F88" s="47"/>
      <c r="G88" s="13"/>
      <c r="H88" s="46" t="str">
        <f t="shared" si="10"/>
        <v/>
      </c>
      <c r="I88" s="47"/>
      <c r="J88" s="15"/>
      <c r="K88" s="50"/>
    </row>
    <row r="89" spans="2:11" ht="22.5" customHeight="1" x14ac:dyDescent="0.3">
      <c r="B89" s="41" t="s">
        <v>17</v>
      </c>
      <c r="C89" s="5" t="s">
        <v>8</v>
      </c>
      <c r="D89" s="5" t="s">
        <v>10</v>
      </c>
      <c r="E89" s="44" t="s">
        <v>13</v>
      </c>
      <c r="F89" s="45"/>
      <c r="G89" s="12" t="s">
        <v>11</v>
      </c>
      <c r="H89" s="44" t="s">
        <v>12</v>
      </c>
      <c r="I89" s="45"/>
      <c r="J89" s="12" t="s">
        <v>14</v>
      </c>
      <c r="K89" s="12" t="s">
        <v>33</v>
      </c>
    </row>
    <row r="90" spans="2:11" ht="22.5" customHeight="1" x14ac:dyDescent="0.3">
      <c r="B90" s="42"/>
      <c r="C90" s="1" t="s">
        <v>0</v>
      </c>
      <c r="D90" s="8" t="str">
        <f>IF(VLOOKUP(G90,$C$34:$E$65,2,FALSE)="","",VLOOKUP(G90,$C$34:$E$65,2,FALSE))</f>
        <v/>
      </c>
      <c r="E90" s="46" t="str">
        <f>IF(VLOOKUP(G90,$C$34:$E$65,3,FALSE)="","",VLOOKUP(G90,$C$34:$E$65,3,FALSE))</f>
        <v/>
      </c>
      <c r="F90" s="47"/>
      <c r="G90" s="13"/>
      <c r="H90" s="46" t="str">
        <f>IFERROR(VLOOKUP(G90,$G$34:$H$65,2,FALSE),"")</f>
        <v/>
      </c>
      <c r="I90" s="47"/>
      <c r="J90" s="15"/>
      <c r="K90" s="48"/>
    </row>
    <row r="91" spans="2:11" ht="22.5" customHeight="1" x14ac:dyDescent="0.3">
      <c r="B91" s="42"/>
      <c r="C91" s="1" t="s">
        <v>1</v>
      </c>
      <c r="D91" s="8" t="str">
        <f t="shared" ref="D91:D92" si="13">IF(VLOOKUP(G91,$C$34:$E$65,2,FALSE)="","",VLOOKUP(G91,$C$34:$E$65,2,FALSE))</f>
        <v/>
      </c>
      <c r="E91" s="46" t="str">
        <f t="shared" ref="E91:E92" si="14">IF(VLOOKUP(G91,$C$34:$E$65,3,FALSE)="","",VLOOKUP(G91,$C$34:$E$65,3,FALSE))</f>
        <v/>
      </c>
      <c r="F91" s="47"/>
      <c r="G91" s="13"/>
      <c r="H91" s="46" t="str">
        <f t="shared" ref="H91:H98" si="15">IFERROR(VLOOKUP(G91,$G$34:$H$65,2,FALSE),"")</f>
        <v/>
      </c>
      <c r="I91" s="47"/>
      <c r="J91" s="15"/>
      <c r="K91" s="49"/>
    </row>
    <row r="92" spans="2:11" ht="22.5" customHeight="1" x14ac:dyDescent="0.3">
      <c r="B92" s="42"/>
      <c r="C92" s="1" t="s">
        <v>2</v>
      </c>
      <c r="D92" s="8" t="str">
        <f t="shared" si="13"/>
        <v/>
      </c>
      <c r="E92" s="46" t="str">
        <f t="shared" si="14"/>
        <v/>
      </c>
      <c r="F92" s="47"/>
      <c r="G92" s="13"/>
      <c r="H92" s="46" t="str">
        <f t="shared" si="1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IF(VLOOKUP(G94,$C$34:$E$65,2,FALSE)="","",VLOOKUP(G94,$C$34:$E$65,2,FALSE))</f>
        <v/>
      </c>
      <c r="E94" s="46" t="str">
        <f>IF(VLOOKUP(G94,$C$34:$E$65,3,FALSE)="","",VLOOKUP(G94,$C$34:$E$65,3,FALSE))</f>
        <v/>
      </c>
      <c r="F94" s="47"/>
      <c r="G94" s="13"/>
      <c r="H94" s="46" t="str">
        <f t="shared" si="15"/>
        <v/>
      </c>
      <c r="I94" s="47"/>
      <c r="J94" s="15"/>
      <c r="K94" s="49"/>
    </row>
    <row r="95" spans="2:11" ht="22.5" customHeight="1" x14ac:dyDescent="0.3">
      <c r="B95" s="42"/>
      <c r="C95" s="1" t="s">
        <v>4</v>
      </c>
      <c r="D95" s="8" t="str">
        <f t="shared" ref="D95:D98" si="16">IF(VLOOKUP(G95,$C$34:$E$65,2,FALSE)="","",VLOOKUP(G95,$C$34:$E$65,2,FALSE))</f>
        <v/>
      </c>
      <c r="E95" s="46" t="str">
        <f t="shared" ref="E95:E98" si="17">IF(VLOOKUP(G95,$C$34:$E$65,3,FALSE)="","",VLOOKUP(G95,$C$34:$E$65,3,FALSE))</f>
        <v/>
      </c>
      <c r="F95" s="47"/>
      <c r="G95" s="13"/>
      <c r="H95" s="46" t="str">
        <f t="shared" si="15"/>
        <v/>
      </c>
      <c r="I95" s="47"/>
      <c r="J95" s="15"/>
      <c r="K95" s="49"/>
    </row>
    <row r="96" spans="2:11" ht="22.5" customHeight="1" x14ac:dyDescent="0.3">
      <c r="B96" s="42"/>
      <c r="C96" s="1" t="s">
        <v>5</v>
      </c>
      <c r="D96" s="8" t="str">
        <f t="shared" si="16"/>
        <v/>
      </c>
      <c r="E96" s="46" t="str">
        <f t="shared" si="17"/>
        <v/>
      </c>
      <c r="F96" s="47"/>
      <c r="G96" s="13"/>
      <c r="H96" s="46" t="str">
        <f t="shared" si="15"/>
        <v/>
      </c>
      <c r="I96" s="47"/>
      <c r="J96" s="15"/>
      <c r="K96" s="49"/>
    </row>
    <row r="97" spans="2:11" ht="22.5" customHeight="1" x14ac:dyDescent="0.3">
      <c r="B97" s="42"/>
      <c r="C97" s="1" t="s">
        <v>6</v>
      </c>
      <c r="D97" s="8" t="str">
        <f t="shared" si="16"/>
        <v/>
      </c>
      <c r="E97" s="46" t="str">
        <f t="shared" si="17"/>
        <v/>
      </c>
      <c r="F97" s="47"/>
      <c r="G97" s="13"/>
      <c r="H97" s="46" t="str">
        <f t="shared" si="15"/>
        <v/>
      </c>
      <c r="I97" s="47"/>
      <c r="J97" s="15"/>
      <c r="K97" s="49"/>
    </row>
    <row r="98" spans="2:11" ht="22.5" customHeight="1" x14ac:dyDescent="0.3">
      <c r="B98" s="43"/>
      <c r="C98" s="1" t="s">
        <v>7</v>
      </c>
      <c r="D98" s="8" t="str">
        <f t="shared" si="16"/>
        <v/>
      </c>
      <c r="E98" s="46" t="str">
        <f t="shared" si="17"/>
        <v/>
      </c>
      <c r="F98" s="47"/>
      <c r="G98" s="13"/>
      <c r="H98" s="46" t="str">
        <f t="shared" si="15"/>
        <v/>
      </c>
      <c r="I98" s="47"/>
      <c r="J98" s="15"/>
      <c r="K98" s="50"/>
    </row>
    <row r="99" spans="2:11" ht="22.5" customHeight="1" x14ac:dyDescent="0.3">
      <c r="B99" s="41" t="s">
        <v>19</v>
      </c>
      <c r="C99" s="5" t="s">
        <v>8</v>
      </c>
      <c r="D99" s="5" t="s">
        <v>10</v>
      </c>
      <c r="E99" s="44" t="s">
        <v>13</v>
      </c>
      <c r="F99" s="45"/>
      <c r="G99" s="12" t="s">
        <v>11</v>
      </c>
      <c r="H99" s="44" t="s">
        <v>12</v>
      </c>
      <c r="I99" s="45"/>
      <c r="J99" s="12" t="s">
        <v>14</v>
      </c>
      <c r="K99" s="12" t="s">
        <v>34</v>
      </c>
    </row>
    <row r="100" spans="2:11" ht="22.5" customHeight="1" x14ac:dyDescent="0.3">
      <c r="B100" s="42"/>
      <c r="C100" s="1" t="s">
        <v>0</v>
      </c>
      <c r="D100" s="8" t="str">
        <f>IF(VLOOKUP(G100,$C$34:$E$65,2,FALSE)="","",VLOOKUP(G100,$C$34:$E$65,2,FALSE))</f>
        <v/>
      </c>
      <c r="E100" s="46" t="str">
        <f>IF(VLOOKUP(G100,$C$34:$E$65,3,FALSE)="","",VLOOKUP(G100,$C$34:$E$65,3,FALSE))</f>
        <v/>
      </c>
      <c r="F100" s="47"/>
      <c r="G100" s="13"/>
      <c r="H100" s="46" t="str">
        <f>IFERROR(VLOOKUP(G100,$G$34:$H$65,2,FALSE),"")</f>
        <v/>
      </c>
      <c r="I100" s="47"/>
      <c r="J100" s="15"/>
      <c r="K100" s="48"/>
    </row>
    <row r="101" spans="2:11" ht="22.5" customHeight="1" x14ac:dyDescent="0.3">
      <c r="B101" s="42"/>
      <c r="C101" s="1" t="s">
        <v>1</v>
      </c>
      <c r="D101" s="8" t="str">
        <f t="shared" ref="D101:D102" si="18">IF(VLOOKUP(G101,$C$34:$E$65,2,FALSE)="","",VLOOKUP(G101,$C$34:$E$65,2,FALSE))</f>
        <v/>
      </c>
      <c r="E101" s="46" t="str">
        <f t="shared" ref="E101:E102" si="19">IF(VLOOKUP(G101,$C$34:$E$65,3,FALSE)="","",VLOOKUP(G101,$C$34:$E$65,3,FALSE))</f>
        <v/>
      </c>
      <c r="F101" s="47"/>
      <c r="G101" s="13"/>
      <c r="H101" s="46" t="str">
        <f t="shared" ref="H101:H108" si="20">IFERROR(VLOOKUP(G101,$G$34:$H$65,2,FALSE),"")</f>
        <v/>
      </c>
      <c r="I101" s="47"/>
      <c r="J101" s="15"/>
      <c r="K101" s="49"/>
    </row>
    <row r="102" spans="2:11" ht="22.5" customHeight="1" x14ac:dyDescent="0.3">
      <c r="B102" s="42"/>
      <c r="C102" s="1" t="s">
        <v>2</v>
      </c>
      <c r="D102" s="8" t="str">
        <f t="shared" si="18"/>
        <v/>
      </c>
      <c r="E102" s="46" t="str">
        <f t="shared" si="19"/>
        <v/>
      </c>
      <c r="F102" s="47"/>
      <c r="G102" s="13"/>
      <c r="H102" s="46" t="str">
        <f t="shared" si="20"/>
        <v/>
      </c>
      <c r="I102" s="47"/>
      <c r="J102" s="15"/>
      <c r="K102" s="49"/>
    </row>
    <row r="103" spans="2:11" ht="22.5" customHeight="1" x14ac:dyDescent="0.3">
      <c r="B103" s="42"/>
      <c r="C103" s="2" t="s">
        <v>18</v>
      </c>
      <c r="D103" s="7"/>
      <c r="E103" s="51"/>
      <c r="F103" s="52"/>
      <c r="G103" s="17"/>
      <c r="H103" s="51"/>
      <c r="I103" s="52"/>
      <c r="J103" s="16"/>
      <c r="K103" s="49"/>
    </row>
    <row r="104" spans="2:11" ht="22.5" customHeight="1" x14ac:dyDescent="0.3">
      <c r="B104" s="42"/>
      <c r="C104" s="1" t="s">
        <v>3</v>
      </c>
      <c r="D104" s="8" t="str">
        <f>IF(VLOOKUP(G104,$C$34:$E$65,2,FALSE)="","",VLOOKUP(G104,$C$34:$E$65,2,FALSE))</f>
        <v/>
      </c>
      <c r="E104" s="46" t="str">
        <f>IF(VLOOKUP(G104,$C$34:$E$65,3,FALSE)="","",VLOOKUP(G104,$C$34:$E$65,3,FALSE))</f>
        <v/>
      </c>
      <c r="F104" s="47"/>
      <c r="G104" s="13"/>
      <c r="H104" s="46" t="str">
        <f t="shared" si="20"/>
        <v/>
      </c>
      <c r="I104" s="47"/>
      <c r="J104" s="15"/>
      <c r="K104" s="49"/>
    </row>
    <row r="105" spans="2:11" ht="22.5" customHeight="1" x14ac:dyDescent="0.3">
      <c r="B105" s="42"/>
      <c r="C105" s="1" t="s">
        <v>4</v>
      </c>
      <c r="D105" s="8" t="str">
        <f t="shared" ref="D105:D108" si="21">IF(VLOOKUP(G105,$C$34:$E$65,2,FALSE)="","",VLOOKUP(G105,$C$34:$E$65,2,FALSE))</f>
        <v/>
      </c>
      <c r="E105" s="46" t="str">
        <f t="shared" ref="E105:E108" si="22">IF(VLOOKUP(G105,$C$34:$E$65,3,FALSE)="","",VLOOKUP(G105,$C$34:$E$65,3,FALSE))</f>
        <v/>
      </c>
      <c r="F105" s="47"/>
      <c r="G105" s="13"/>
      <c r="H105" s="46" t="str">
        <f t="shared" si="20"/>
        <v/>
      </c>
      <c r="I105" s="47"/>
      <c r="J105" s="15"/>
      <c r="K105" s="49"/>
    </row>
    <row r="106" spans="2:11" ht="22.5" customHeight="1" x14ac:dyDescent="0.3">
      <c r="B106" s="42"/>
      <c r="C106" s="1" t="s">
        <v>5</v>
      </c>
      <c r="D106" s="8" t="str">
        <f t="shared" si="21"/>
        <v/>
      </c>
      <c r="E106" s="46" t="str">
        <f t="shared" si="22"/>
        <v/>
      </c>
      <c r="F106" s="47"/>
      <c r="G106" s="13"/>
      <c r="H106" s="46" t="str">
        <f t="shared" si="20"/>
        <v/>
      </c>
      <c r="I106" s="47"/>
      <c r="J106" s="15"/>
      <c r="K106" s="49"/>
    </row>
    <row r="107" spans="2:11" ht="22.5" customHeight="1" x14ac:dyDescent="0.3">
      <c r="B107" s="42"/>
      <c r="C107" s="1" t="s">
        <v>6</v>
      </c>
      <c r="D107" s="8" t="str">
        <f t="shared" si="21"/>
        <v/>
      </c>
      <c r="E107" s="46" t="str">
        <f t="shared" si="22"/>
        <v/>
      </c>
      <c r="F107" s="47"/>
      <c r="G107" s="13"/>
      <c r="H107" s="46" t="str">
        <f t="shared" si="20"/>
        <v/>
      </c>
      <c r="I107" s="47"/>
      <c r="J107" s="15"/>
      <c r="K107" s="49"/>
    </row>
    <row r="108" spans="2:11" ht="22.5" customHeight="1" x14ac:dyDescent="0.3">
      <c r="B108" s="43"/>
      <c r="C108" s="1" t="s">
        <v>7</v>
      </c>
      <c r="D108" s="8" t="str">
        <f t="shared" si="21"/>
        <v/>
      </c>
      <c r="E108" s="46" t="str">
        <f t="shared" si="22"/>
        <v/>
      </c>
      <c r="F108" s="47"/>
      <c r="G108" s="13"/>
      <c r="H108" s="46" t="str">
        <f t="shared" si="20"/>
        <v/>
      </c>
      <c r="I108" s="47"/>
      <c r="J108" s="15"/>
      <c r="K108" s="50"/>
    </row>
    <row r="109" spans="2:11" ht="22.5" customHeight="1" x14ac:dyDescent="0.3">
      <c r="B109" s="41" t="s">
        <v>20</v>
      </c>
      <c r="C109" s="5" t="s">
        <v>8</v>
      </c>
      <c r="D109" s="5" t="s">
        <v>10</v>
      </c>
      <c r="E109" s="44" t="s">
        <v>13</v>
      </c>
      <c r="F109" s="45"/>
      <c r="G109" s="12" t="s">
        <v>11</v>
      </c>
      <c r="H109" s="44" t="s">
        <v>12</v>
      </c>
      <c r="I109" s="45"/>
      <c r="J109" s="12" t="s">
        <v>14</v>
      </c>
      <c r="K109" s="12" t="s">
        <v>35</v>
      </c>
    </row>
    <row r="110" spans="2:11" ht="22.5" customHeight="1" x14ac:dyDescent="0.3">
      <c r="B110" s="42"/>
      <c r="C110" s="1" t="s">
        <v>0</v>
      </c>
      <c r="D110" s="8" t="str">
        <f>IF(VLOOKUP(G110,$C$34:$E$65,2,FALSE)="","",VLOOKUP(G110,$C$34:$E$65,2,FALSE))</f>
        <v/>
      </c>
      <c r="E110" s="46" t="str">
        <f>IF(VLOOKUP(G110,$C$34:$E$65,3,FALSE)="","",VLOOKUP(G110,$C$34:$E$65,3,FALSE))</f>
        <v/>
      </c>
      <c r="F110" s="47"/>
      <c r="G110" s="13"/>
      <c r="H110" s="46" t="str">
        <f>IFERROR(VLOOKUP(G110,$G$34:$H$65,2,FALSE),"")</f>
        <v/>
      </c>
      <c r="I110" s="47"/>
      <c r="J110" s="15"/>
      <c r="K110" s="48"/>
    </row>
    <row r="111" spans="2:11" ht="22.5" customHeight="1" x14ac:dyDescent="0.3">
      <c r="B111" s="42"/>
      <c r="C111" s="1" t="s">
        <v>1</v>
      </c>
      <c r="D111" s="8" t="str">
        <f t="shared" ref="D111:D112" si="23">IF(VLOOKUP(G111,$C$34:$E$65,2,FALSE)="","",VLOOKUP(G111,$C$34:$E$65,2,FALSE))</f>
        <v/>
      </c>
      <c r="E111" s="46" t="str">
        <f t="shared" ref="E111:E112" si="24">IF(VLOOKUP(G111,$C$34:$E$65,3,FALSE)="","",VLOOKUP(G111,$C$34:$E$65,3,FALSE))</f>
        <v/>
      </c>
      <c r="F111" s="47"/>
      <c r="G111" s="13"/>
      <c r="H111" s="46" t="str">
        <f t="shared" ref="H111:H118" si="25">IFERROR(VLOOKUP(G111,$G$34:$H$65,2,FALSE),"")</f>
        <v/>
      </c>
      <c r="I111" s="47"/>
      <c r="J111" s="15"/>
      <c r="K111" s="49"/>
    </row>
    <row r="112" spans="2:11" ht="22.5" customHeight="1" x14ac:dyDescent="0.3">
      <c r="B112" s="42"/>
      <c r="C112" s="1" t="s">
        <v>2</v>
      </c>
      <c r="D112" s="8" t="str">
        <f t="shared" si="23"/>
        <v/>
      </c>
      <c r="E112" s="46" t="str">
        <f t="shared" si="24"/>
        <v/>
      </c>
      <c r="F112" s="47"/>
      <c r="G112" s="13"/>
      <c r="H112" s="46" t="str">
        <f t="shared" si="25"/>
        <v/>
      </c>
      <c r="I112" s="47"/>
      <c r="J112" s="15"/>
      <c r="K112" s="49"/>
    </row>
    <row r="113" spans="2:11" ht="22.5" customHeight="1" x14ac:dyDescent="0.3">
      <c r="B113" s="42"/>
      <c r="C113" s="2" t="s">
        <v>18</v>
      </c>
      <c r="D113" s="7"/>
      <c r="E113" s="51"/>
      <c r="F113" s="52"/>
      <c r="G113" s="17"/>
      <c r="H113" s="51"/>
      <c r="I113" s="52"/>
      <c r="J113" s="16"/>
      <c r="K113" s="49"/>
    </row>
    <row r="114" spans="2:11" ht="22.5" customHeight="1" x14ac:dyDescent="0.3">
      <c r="B114" s="42"/>
      <c r="C114" s="1" t="s">
        <v>3</v>
      </c>
      <c r="D114" s="8" t="str">
        <f>IF(VLOOKUP(G114,$C$34:$E$65,2,FALSE)="","",VLOOKUP(G114,$C$34:$E$65,2,FALSE))</f>
        <v/>
      </c>
      <c r="E114" s="46" t="str">
        <f>IF(VLOOKUP(G114,$C$34:$E$65,3,FALSE)="","",VLOOKUP(G114,$C$34:$E$65,3,FALSE))</f>
        <v/>
      </c>
      <c r="F114" s="47"/>
      <c r="G114" s="13"/>
      <c r="H114" s="46" t="str">
        <f t="shared" si="25"/>
        <v/>
      </c>
      <c r="I114" s="47"/>
      <c r="J114" s="15"/>
      <c r="K114" s="49"/>
    </row>
    <row r="115" spans="2:11" ht="22.5" customHeight="1" x14ac:dyDescent="0.3">
      <c r="B115" s="42"/>
      <c r="C115" s="1" t="s">
        <v>4</v>
      </c>
      <c r="D115" s="8" t="str">
        <f t="shared" ref="D115:D118" si="26">IF(VLOOKUP(G115,$C$34:$E$65,2,FALSE)="","",VLOOKUP(G115,$C$34:$E$65,2,FALSE))</f>
        <v/>
      </c>
      <c r="E115" s="46" t="str">
        <f t="shared" ref="E115:E118" si="27">IF(VLOOKUP(G115,$C$34:$E$65,3,FALSE)="","",VLOOKUP(G115,$C$34:$E$65,3,FALSE))</f>
        <v/>
      </c>
      <c r="F115" s="47"/>
      <c r="G115" s="13"/>
      <c r="H115" s="46" t="str">
        <f t="shared" si="25"/>
        <v/>
      </c>
      <c r="I115" s="47"/>
      <c r="J115" s="15"/>
      <c r="K115" s="49"/>
    </row>
    <row r="116" spans="2:11" ht="22.5" customHeight="1" x14ac:dyDescent="0.3">
      <c r="B116" s="42"/>
      <c r="C116" s="1" t="s">
        <v>5</v>
      </c>
      <c r="D116" s="8" t="str">
        <f t="shared" si="26"/>
        <v/>
      </c>
      <c r="E116" s="46" t="str">
        <f t="shared" si="27"/>
        <v/>
      </c>
      <c r="F116" s="47"/>
      <c r="G116" s="13"/>
      <c r="H116" s="46" t="str">
        <f t="shared" si="25"/>
        <v/>
      </c>
      <c r="I116" s="47"/>
      <c r="J116" s="15"/>
      <c r="K116" s="49"/>
    </row>
    <row r="117" spans="2:11" ht="22.5" customHeight="1" x14ac:dyDescent="0.3">
      <c r="B117" s="42"/>
      <c r="C117" s="1" t="s">
        <v>6</v>
      </c>
      <c r="D117" s="8" t="str">
        <f t="shared" si="26"/>
        <v/>
      </c>
      <c r="E117" s="46" t="str">
        <f t="shared" si="27"/>
        <v/>
      </c>
      <c r="F117" s="47"/>
      <c r="G117" s="13"/>
      <c r="H117" s="46" t="str">
        <f t="shared" si="25"/>
        <v/>
      </c>
      <c r="I117" s="47"/>
      <c r="J117" s="15"/>
      <c r="K117" s="49"/>
    </row>
    <row r="118" spans="2:11" ht="22.5" customHeight="1" x14ac:dyDescent="0.3">
      <c r="B118" s="43"/>
      <c r="C118" s="1" t="s">
        <v>7</v>
      </c>
      <c r="D118" s="8" t="str">
        <f t="shared" si="26"/>
        <v/>
      </c>
      <c r="E118" s="46" t="str">
        <f t="shared" si="27"/>
        <v/>
      </c>
      <c r="F118" s="47"/>
      <c r="G118" s="13"/>
      <c r="H118" s="46" t="str">
        <f t="shared" si="25"/>
        <v/>
      </c>
      <c r="I118" s="47"/>
      <c r="J118" s="15"/>
      <c r="K118" s="50"/>
    </row>
    <row r="119" spans="2:11" ht="22.5" customHeight="1" x14ac:dyDescent="0.3">
      <c r="K119" s="11">
        <f>COUNTA(K70,K80,K90,K100,K110)</f>
        <v>0</v>
      </c>
    </row>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row r="129" ht="22.5" customHeight="1" x14ac:dyDescent="0.3"/>
    <row r="130" ht="22.5" customHeight="1" x14ac:dyDescent="0.3"/>
  </sheetData>
  <mergeCells count="168">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9:B78"/>
    <mergeCell ref="E69:F69"/>
    <mergeCell ref="H69:I69"/>
    <mergeCell ref="E70:F70"/>
    <mergeCell ref="H70:I70"/>
    <mergeCell ref="K70:K78"/>
    <mergeCell ref="E71:F71"/>
    <mergeCell ref="H71:I71"/>
    <mergeCell ref="J29:K29"/>
    <mergeCell ref="C29:I29"/>
    <mergeCell ref="J30:K30"/>
    <mergeCell ref="C30:I30"/>
    <mergeCell ref="E75:F75"/>
    <mergeCell ref="H75:I75"/>
    <mergeCell ref="E76:F76"/>
    <mergeCell ref="H76:I76"/>
    <mergeCell ref="E77:F77"/>
    <mergeCell ref="H77:I77"/>
    <mergeCell ref="E72:F72"/>
    <mergeCell ref="H72:I72"/>
    <mergeCell ref="E73:F73"/>
    <mergeCell ref="H73:I73"/>
    <mergeCell ref="E74:F74"/>
    <mergeCell ref="H74:I74"/>
    <mergeCell ref="E78:F78"/>
    <mergeCell ref="H78:I78"/>
    <mergeCell ref="B79:B88"/>
    <mergeCell ref="E79:F79"/>
    <mergeCell ref="H79:I79"/>
    <mergeCell ref="E80:F80"/>
    <mergeCell ref="H80:I80"/>
    <mergeCell ref="H85:I85"/>
    <mergeCell ref="E86:F86"/>
    <mergeCell ref="H86:I86"/>
    <mergeCell ref="K80:K88"/>
    <mergeCell ref="E81:F81"/>
    <mergeCell ref="H81:I81"/>
    <mergeCell ref="E82:F82"/>
    <mergeCell ref="H82:I82"/>
    <mergeCell ref="E83:F83"/>
    <mergeCell ref="H83:I83"/>
    <mergeCell ref="E84:F84"/>
    <mergeCell ref="H84:I84"/>
    <mergeCell ref="E85:F85"/>
    <mergeCell ref="E87:F87"/>
    <mergeCell ref="H87:I87"/>
    <mergeCell ref="E88:F88"/>
    <mergeCell ref="H88:I88"/>
    <mergeCell ref="B89:B98"/>
    <mergeCell ref="E89:F89"/>
    <mergeCell ref="H89:I89"/>
    <mergeCell ref="E90:F90"/>
    <mergeCell ref="H90:I90"/>
    <mergeCell ref="H95:I95"/>
    <mergeCell ref="E96:F96"/>
    <mergeCell ref="H96:I96"/>
    <mergeCell ref="E97:F97"/>
    <mergeCell ref="H97:I97"/>
    <mergeCell ref="E98:F98"/>
    <mergeCell ref="H98:I98"/>
    <mergeCell ref="K90:K98"/>
    <mergeCell ref="E91:F91"/>
    <mergeCell ref="H91:I91"/>
    <mergeCell ref="E92:F92"/>
    <mergeCell ref="H92:I92"/>
    <mergeCell ref="E93:F93"/>
    <mergeCell ref="H93:I93"/>
    <mergeCell ref="E94:F94"/>
    <mergeCell ref="H94:I94"/>
    <mergeCell ref="E95:F9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B81EFC-7D49-42E1-9DF2-9FA74ECBA883}">
          <x14:formula1>
            <xm:f>통합!$A$3:$A$44</xm:f>
          </x14:formula1>
          <xm:sqref>J34:J65 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B3F6-521C-48A0-B191-36DEB371BA4B}">
  <dimension ref="A1:P128"/>
  <sheetViews>
    <sheetView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241</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F64&amp;"시간( "&amp;K117&amp;"일)"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c r="D13" s="53"/>
      <c r="E13" s="53"/>
      <c r="F13" s="53"/>
      <c r="G13" s="53"/>
      <c r="H13" s="53"/>
      <c r="I13" s="54"/>
      <c r="J13" s="55" t="s">
        <v>37</v>
      </c>
      <c r="K13" s="55"/>
      <c r="L13" s="10"/>
      <c r="M13" s="10"/>
      <c r="N13" s="10"/>
      <c r="O13" s="10"/>
      <c r="P13" s="10"/>
    </row>
    <row r="14" spans="1:16" ht="21.75" customHeight="1" x14ac:dyDescent="0.3">
      <c r="A14" s="11" t="s">
        <v>234</v>
      </c>
      <c r="B14" s="4" t="s">
        <v>235</v>
      </c>
      <c r="C14" s="53"/>
      <c r="D14" s="53"/>
      <c r="E14" s="53"/>
      <c r="F14" s="53"/>
      <c r="G14" s="53"/>
      <c r="H14" s="53"/>
      <c r="I14" s="54"/>
      <c r="J14" s="55" t="s">
        <v>236</v>
      </c>
      <c r="K14" s="55"/>
      <c r="L14" s="10"/>
      <c r="M14" s="10"/>
      <c r="N14" s="10"/>
      <c r="O14" s="10"/>
      <c r="P14" s="10"/>
    </row>
    <row r="15" spans="1:16" ht="21.75" customHeight="1" x14ac:dyDescent="0.3">
      <c r="A15" s="11" t="s">
        <v>193</v>
      </c>
      <c r="B15" s="4" t="s">
        <v>189</v>
      </c>
      <c r="C15" s="53"/>
      <c r="D15" s="53"/>
      <c r="E15" s="53"/>
      <c r="F15" s="53"/>
      <c r="G15" s="53"/>
      <c r="H15" s="53"/>
      <c r="I15" s="54"/>
      <c r="J15" s="55" t="s">
        <v>188</v>
      </c>
      <c r="K15" s="55"/>
      <c r="L15" s="10"/>
      <c r="M15" s="10"/>
      <c r="N15" s="10"/>
      <c r="O15" s="10"/>
      <c r="P15" s="10"/>
    </row>
    <row r="16" spans="1:16" ht="21.75" customHeight="1" x14ac:dyDescent="0.3">
      <c r="A16" s="11" t="s">
        <v>192</v>
      </c>
      <c r="B16" s="4" t="s">
        <v>190</v>
      </c>
      <c r="C16" s="53"/>
      <c r="D16" s="53"/>
      <c r="E16" s="53"/>
      <c r="F16" s="53"/>
      <c r="G16" s="53"/>
      <c r="H16" s="53"/>
      <c r="I16" s="54"/>
      <c r="J16" s="55" t="s">
        <v>191</v>
      </c>
      <c r="K16" s="55"/>
      <c r="L16" s="10"/>
      <c r="M16" s="10"/>
      <c r="N16" s="10"/>
      <c r="O16" s="10"/>
      <c r="P16" s="10"/>
    </row>
    <row r="17" spans="1:16" ht="48.75" customHeight="1" x14ac:dyDescent="0.3">
      <c r="A17" s="11" t="s">
        <v>182</v>
      </c>
      <c r="B17" s="4" t="s">
        <v>217</v>
      </c>
      <c r="C17" s="53"/>
      <c r="D17" s="53"/>
      <c r="E17" s="53"/>
      <c r="F17" s="53"/>
      <c r="G17" s="53"/>
      <c r="H17" s="53"/>
      <c r="I17" s="54"/>
      <c r="J17" s="55" t="s">
        <v>181</v>
      </c>
      <c r="K17" s="55"/>
      <c r="L17" s="10"/>
      <c r="M17" s="10"/>
      <c r="N17" s="10"/>
      <c r="O17" s="10"/>
      <c r="P17" s="10"/>
    </row>
    <row r="18" spans="1:16" ht="48.75" customHeight="1" x14ac:dyDescent="0.3">
      <c r="A18" s="11" t="s">
        <v>194</v>
      </c>
      <c r="B18" s="4" t="s">
        <v>218</v>
      </c>
      <c r="C18" s="53"/>
      <c r="D18" s="53"/>
      <c r="E18" s="53"/>
      <c r="F18" s="53"/>
      <c r="G18" s="53"/>
      <c r="H18" s="53"/>
      <c r="I18" s="54"/>
      <c r="J18" s="55" t="s">
        <v>181</v>
      </c>
      <c r="K18" s="55"/>
      <c r="L18" s="10"/>
      <c r="M18" s="10"/>
      <c r="N18" s="10"/>
      <c r="O18" s="10"/>
      <c r="P18" s="10"/>
    </row>
    <row r="19" spans="1:16" ht="44.25" customHeight="1" x14ac:dyDescent="0.3">
      <c r="A19" s="11" t="s">
        <v>221</v>
      </c>
      <c r="B19" s="4" t="s">
        <v>22</v>
      </c>
      <c r="C19" s="57"/>
      <c r="D19" s="53"/>
      <c r="E19" s="53"/>
      <c r="F19" s="53"/>
      <c r="G19" s="53"/>
      <c r="H19" s="53"/>
      <c r="I19" s="54"/>
      <c r="J19" s="55" t="s">
        <v>39</v>
      </c>
      <c r="K19" s="55"/>
      <c r="L19" s="10"/>
      <c r="M19" s="10"/>
      <c r="N19" s="10"/>
      <c r="O19" s="10"/>
      <c r="P19" s="10"/>
    </row>
    <row r="20" spans="1:16" ht="28.5" customHeight="1" x14ac:dyDescent="0.3">
      <c r="A20" s="11" t="s">
        <v>224</v>
      </c>
      <c r="B20" s="4" t="s">
        <v>25</v>
      </c>
      <c r="C20" s="53"/>
      <c r="D20" s="53"/>
      <c r="E20" s="53"/>
      <c r="F20" s="53"/>
      <c r="G20" s="53"/>
      <c r="H20" s="53"/>
      <c r="I20" s="54"/>
      <c r="J20" s="55" t="s">
        <v>40</v>
      </c>
      <c r="K20" s="55"/>
      <c r="L20" s="10"/>
      <c r="M20" s="10"/>
      <c r="N20" s="10"/>
      <c r="O20" s="10"/>
      <c r="P20" s="10"/>
    </row>
    <row r="21" spans="1:16" ht="78" customHeight="1" x14ac:dyDescent="0.3">
      <c r="A21" s="11" t="s">
        <v>225</v>
      </c>
      <c r="B21" s="4" t="s">
        <v>27</v>
      </c>
      <c r="C21" s="57"/>
      <c r="D21" s="53"/>
      <c r="E21" s="53"/>
      <c r="F21" s="53"/>
      <c r="G21" s="53"/>
      <c r="H21" s="53"/>
      <c r="I21" s="54"/>
      <c r="J21" s="55" t="s">
        <v>41</v>
      </c>
      <c r="K21" s="55"/>
      <c r="L21" s="10"/>
      <c r="M21" s="10"/>
      <c r="N21" s="10"/>
      <c r="O21" s="10"/>
      <c r="P21" s="10"/>
    </row>
    <row r="22" spans="1:16" ht="62.25" customHeight="1" x14ac:dyDescent="0.3">
      <c r="A22" s="11" t="s">
        <v>226</v>
      </c>
      <c r="B22" s="58" t="s">
        <v>28</v>
      </c>
      <c r="C22" s="57"/>
      <c r="D22" s="53"/>
      <c r="E22" s="53"/>
      <c r="F22" s="53"/>
      <c r="G22" s="53"/>
      <c r="H22" s="53"/>
      <c r="I22" s="54"/>
      <c r="J22" s="55" t="s">
        <v>229</v>
      </c>
      <c r="K22" s="55"/>
      <c r="L22" s="10"/>
      <c r="M22" s="10"/>
      <c r="N22" s="10"/>
      <c r="O22" s="10"/>
      <c r="P22" s="10"/>
    </row>
    <row r="23" spans="1:16" ht="62.25" customHeight="1" x14ac:dyDescent="0.3">
      <c r="A23" s="11" t="s">
        <v>227</v>
      </c>
      <c r="B23" s="58"/>
      <c r="C23" s="57"/>
      <c r="D23" s="53"/>
      <c r="E23" s="53"/>
      <c r="F23" s="53"/>
      <c r="G23" s="53"/>
      <c r="H23" s="53"/>
      <c r="I23" s="54"/>
      <c r="J23" s="55" t="s">
        <v>230</v>
      </c>
      <c r="K23" s="55"/>
      <c r="L23" s="10"/>
      <c r="M23" s="10"/>
      <c r="N23" s="10"/>
      <c r="O23" s="10"/>
      <c r="P23" s="10"/>
    </row>
    <row r="24" spans="1:16" ht="62.25" customHeight="1" x14ac:dyDescent="0.3">
      <c r="A24" s="11" t="s">
        <v>228</v>
      </c>
      <c r="B24" s="58"/>
      <c r="C24" s="57"/>
      <c r="D24" s="53"/>
      <c r="E24" s="53"/>
      <c r="F24" s="53"/>
      <c r="G24" s="53"/>
      <c r="H24" s="53"/>
      <c r="I24" s="54"/>
      <c r="J24" s="55" t="s">
        <v>231</v>
      </c>
      <c r="K24" s="55"/>
      <c r="L24" s="10"/>
      <c r="M24" s="10"/>
      <c r="N24" s="10"/>
      <c r="O24" s="10"/>
      <c r="P24" s="10"/>
    </row>
    <row r="25" spans="1:16" ht="83.25" customHeight="1" x14ac:dyDescent="0.3">
      <c r="A25" s="11" t="s">
        <v>232</v>
      </c>
      <c r="B25" s="6" t="s">
        <v>29</v>
      </c>
      <c r="C25" s="57"/>
      <c r="D25" s="53"/>
      <c r="E25" s="53"/>
      <c r="F25" s="53"/>
      <c r="G25" s="53"/>
      <c r="H25" s="53"/>
      <c r="I25" s="54"/>
      <c r="J25" s="55" t="s">
        <v>45</v>
      </c>
      <c r="K25" s="55"/>
      <c r="L25" s="10"/>
      <c r="M25" s="10"/>
      <c r="N25" s="10"/>
      <c r="O25" s="10"/>
      <c r="P25" s="10"/>
    </row>
    <row r="26" spans="1:16" ht="47.25" customHeight="1" x14ac:dyDescent="0.3">
      <c r="A26" s="11" t="s">
        <v>237</v>
      </c>
      <c r="B26" s="6" t="s">
        <v>46</v>
      </c>
      <c r="C26" s="57"/>
      <c r="D26" s="53"/>
      <c r="E26" s="53"/>
      <c r="F26" s="53"/>
      <c r="G26" s="53"/>
      <c r="H26" s="53"/>
      <c r="I26" s="54"/>
      <c r="J26" s="55" t="s">
        <v>47</v>
      </c>
      <c r="K26" s="55"/>
      <c r="L26" s="10"/>
      <c r="M26" s="10"/>
      <c r="N26" s="10"/>
      <c r="O26" s="10"/>
      <c r="P26" s="10"/>
    </row>
    <row r="27" spans="1:16" ht="29.25" customHeight="1" x14ac:dyDescent="0.3">
      <c r="A27" s="11" t="s">
        <v>233</v>
      </c>
      <c r="B27" s="4" t="s">
        <v>26</v>
      </c>
      <c r="C27" s="53"/>
      <c r="D27" s="53"/>
      <c r="E27" s="53"/>
      <c r="F27" s="53"/>
      <c r="G27" s="53"/>
      <c r="H27" s="53"/>
      <c r="I27" s="54"/>
      <c r="J27" s="55" t="s">
        <v>48</v>
      </c>
      <c r="K27" s="55"/>
      <c r="L27" s="10"/>
      <c r="M27" s="10"/>
      <c r="N27" s="10"/>
      <c r="O27" s="10"/>
      <c r="P27" s="10"/>
    </row>
    <row r="28" spans="1:16" ht="218.25" customHeight="1" x14ac:dyDescent="0.3">
      <c r="A28" s="11" t="s">
        <v>233</v>
      </c>
      <c r="B28" s="39" t="s">
        <v>239</v>
      </c>
      <c r="C28" s="53"/>
      <c r="D28" s="53"/>
      <c r="E28" s="53"/>
      <c r="F28" s="53"/>
      <c r="G28" s="53"/>
      <c r="H28" s="53"/>
      <c r="I28" s="54"/>
      <c r="J28" s="55" t="s">
        <v>240</v>
      </c>
      <c r="K28" s="55"/>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41" t="s">
        <v>9</v>
      </c>
      <c r="C67" s="5" t="s">
        <v>8</v>
      </c>
      <c r="D67" s="5" t="s">
        <v>10</v>
      </c>
      <c r="E67" s="44" t="s">
        <v>13</v>
      </c>
      <c r="F67" s="45"/>
      <c r="G67" s="12" t="s">
        <v>11</v>
      </c>
      <c r="H67" s="44" t="s">
        <v>12</v>
      </c>
      <c r="I67" s="45"/>
      <c r="J67" s="12" t="s">
        <v>14</v>
      </c>
      <c r="K67" s="12" t="s">
        <v>31</v>
      </c>
    </row>
    <row r="68" spans="2:11" ht="22.5" customHeight="1" x14ac:dyDescent="0.3">
      <c r="B68" s="42"/>
      <c r="C68" s="1" t="s">
        <v>0</v>
      </c>
      <c r="D68" s="8" t="str">
        <f>IF(VLOOKUP(G68,$C$32:$E$63,2,FALSE)="","",VLOOKUP(G68,$C$32:$E$63,2,FALSE))</f>
        <v>1903090101_21v2</v>
      </c>
      <c r="E68" s="46" t="str">
        <f>IF(VLOOKUP(G68,$C$32:$E$63,3,FALSE)="","",VLOOKUP(G68,$C$32:$E$63,3,FALSE))</f>
        <v>의료기기 품질문서 개발</v>
      </c>
      <c r="F68" s="47"/>
      <c r="G68" s="13" t="s">
        <v>50</v>
      </c>
      <c r="H68" s="46" t="str">
        <f>IFERROR(VLOOKUP(G68,$G$32:$H$63,2,FALSE),"")</f>
        <v>하드웨어 분석하기</v>
      </c>
      <c r="I68" s="47"/>
      <c r="J68" s="15" t="s">
        <v>49</v>
      </c>
      <c r="K68" s="56"/>
    </row>
    <row r="69" spans="2:11" ht="22.5" customHeight="1" x14ac:dyDescent="0.3">
      <c r="B69" s="42"/>
      <c r="C69" s="1" t="s">
        <v>1</v>
      </c>
      <c r="D69" s="8" t="str">
        <f t="shared" ref="D69:D70" si="3">IF(VLOOKUP(G69,$C$32:$E$63,2,FALSE)="","",VLOOKUP(G69,$C$32:$E$63,2,FALSE))</f>
        <v/>
      </c>
      <c r="E69" s="46" t="str">
        <f t="shared" ref="E69:E70" si="4">IF(VLOOKUP(G69,$C$32:$E$63,3,FALSE)="","",VLOOKUP(G69,$C$32:$E$63,3,FALSE))</f>
        <v/>
      </c>
      <c r="F69" s="47"/>
      <c r="G69" s="13"/>
      <c r="H69" s="46" t="str">
        <f t="shared" ref="H69:H76" si="5">IFERROR(VLOOKUP(G69,$G$32:$H$63,2,FALSE),"")</f>
        <v/>
      </c>
      <c r="I69" s="47"/>
      <c r="J69" s="15"/>
      <c r="K69" s="49"/>
    </row>
    <row r="70" spans="2:11" ht="22.5" customHeight="1" x14ac:dyDescent="0.3">
      <c r="B70" s="42"/>
      <c r="C70" s="1" t="s">
        <v>2</v>
      </c>
      <c r="D70" s="8" t="str">
        <f t="shared" si="3"/>
        <v/>
      </c>
      <c r="E70" s="46" t="str">
        <f t="shared" si="4"/>
        <v/>
      </c>
      <c r="F70" s="47"/>
      <c r="G70" s="13"/>
      <c r="H70" s="46" t="str">
        <f t="shared" si="5"/>
        <v/>
      </c>
      <c r="I70" s="47"/>
      <c r="J70" s="15"/>
      <c r="K70" s="49"/>
    </row>
    <row r="71" spans="2:11" ht="22.5" customHeight="1" x14ac:dyDescent="0.3">
      <c r="B71" s="42"/>
      <c r="C71" s="2" t="s">
        <v>18</v>
      </c>
      <c r="D71" s="7"/>
      <c r="E71" s="51"/>
      <c r="F71" s="52"/>
      <c r="G71" s="17"/>
      <c r="H71" s="51"/>
      <c r="I71" s="52"/>
      <c r="J71" s="16"/>
      <c r="K71" s="49"/>
    </row>
    <row r="72" spans="2:11" ht="22.5" customHeight="1" x14ac:dyDescent="0.3">
      <c r="B72" s="42"/>
      <c r="C72" s="1" t="s">
        <v>3</v>
      </c>
      <c r="D72" s="8" t="str">
        <f>IF(VLOOKUP(G72,$C$32:$E$63,2,FALSE)="","",VLOOKUP(G72,$C$32:$E$63,2,FALSE))</f>
        <v/>
      </c>
      <c r="E72" s="46" t="str">
        <f>IF(VLOOKUP(G72,$C$32:$E$63,3,FALSE)="","",VLOOKUP(G72,$C$32:$E$63,3,FALSE))</f>
        <v/>
      </c>
      <c r="F72" s="47"/>
      <c r="G72" s="13"/>
      <c r="H72" s="46" t="str">
        <f t="shared" si="5"/>
        <v/>
      </c>
      <c r="I72" s="47"/>
      <c r="J72" s="15"/>
      <c r="K72" s="49"/>
    </row>
    <row r="73" spans="2:11" ht="22.5" customHeight="1" x14ac:dyDescent="0.3">
      <c r="B73" s="42"/>
      <c r="C73" s="1" t="s">
        <v>4</v>
      </c>
      <c r="D73" s="8" t="str">
        <f t="shared" ref="D73:D76" si="6">IF(VLOOKUP(G73,$C$32:$E$63,2,FALSE)="","",VLOOKUP(G73,$C$32:$E$63,2,FALSE))</f>
        <v/>
      </c>
      <c r="E73" s="46" t="str">
        <f t="shared" ref="E73:E76" si="7">IF(VLOOKUP(G73,$C$32:$E$63,3,FALSE)="","",VLOOKUP(G73,$C$32:$E$63,3,FALSE))</f>
        <v/>
      </c>
      <c r="F73" s="47"/>
      <c r="G73" s="13"/>
      <c r="H73" s="46" t="str">
        <f t="shared" si="5"/>
        <v/>
      </c>
      <c r="I73" s="47"/>
      <c r="J73" s="15"/>
      <c r="K73" s="49"/>
    </row>
    <row r="74" spans="2:11" ht="22.5" customHeight="1" x14ac:dyDescent="0.3">
      <c r="B74" s="42"/>
      <c r="C74" s="1" t="s">
        <v>5</v>
      </c>
      <c r="D74" s="8" t="str">
        <f t="shared" si="6"/>
        <v/>
      </c>
      <c r="E74" s="46" t="str">
        <f t="shared" si="7"/>
        <v/>
      </c>
      <c r="F74" s="47"/>
      <c r="G74" s="13"/>
      <c r="H74" s="46" t="str">
        <f t="shared" si="5"/>
        <v/>
      </c>
      <c r="I74" s="47"/>
      <c r="J74" s="15"/>
      <c r="K74" s="49"/>
    </row>
    <row r="75" spans="2:11" ht="22.5" customHeight="1" x14ac:dyDescent="0.3">
      <c r="B75" s="42"/>
      <c r="C75" s="1" t="s">
        <v>6</v>
      </c>
      <c r="D75" s="8" t="str">
        <f t="shared" si="6"/>
        <v/>
      </c>
      <c r="E75" s="46" t="str">
        <f t="shared" si="7"/>
        <v/>
      </c>
      <c r="F75" s="47"/>
      <c r="G75" s="13"/>
      <c r="H75" s="46" t="str">
        <f t="shared" si="5"/>
        <v/>
      </c>
      <c r="I75" s="47"/>
      <c r="J75" s="15"/>
      <c r="K75" s="49"/>
    </row>
    <row r="76" spans="2:11" ht="22.5" customHeight="1" x14ac:dyDescent="0.3">
      <c r="B76" s="43"/>
      <c r="C76" s="1" t="s">
        <v>7</v>
      </c>
      <c r="D76" s="8" t="str">
        <f t="shared" si="6"/>
        <v/>
      </c>
      <c r="E76" s="46" t="str">
        <f t="shared" si="7"/>
        <v/>
      </c>
      <c r="F76" s="47"/>
      <c r="G76" s="13"/>
      <c r="H76" s="46" t="str">
        <f t="shared" si="5"/>
        <v/>
      </c>
      <c r="I76" s="47"/>
      <c r="J76" s="15"/>
      <c r="K76" s="50"/>
    </row>
    <row r="77" spans="2:11" ht="22.5" customHeight="1" x14ac:dyDescent="0.3">
      <c r="B77" s="41" t="s">
        <v>16</v>
      </c>
      <c r="C77" s="5" t="s">
        <v>8</v>
      </c>
      <c r="D77" s="5" t="s">
        <v>10</v>
      </c>
      <c r="E77" s="44" t="s">
        <v>13</v>
      </c>
      <c r="F77" s="45"/>
      <c r="G77" s="12" t="s">
        <v>11</v>
      </c>
      <c r="H77" s="44" t="s">
        <v>12</v>
      </c>
      <c r="I77" s="45"/>
      <c r="J77" s="12" t="s">
        <v>14</v>
      </c>
      <c r="K77" s="12" t="s">
        <v>32</v>
      </c>
    </row>
    <row r="78" spans="2:11" ht="22.5" customHeight="1" x14ac:dyDescent="0.3">
      <c r="B78" s="42"/>
      <c r="C78" s="1" t="s">
        <v>0</v>
      </c>
      <c r="D78" s="8" t="str">
        <f>IF(VLOOKUP(G78,$C$32:$E$63,2,FALSE)="","",VLOOKUP(G78,$C$32:$E$63,2,FALSE))</f>
        <v/>
      </c>
      <c r="E78" s="46" t="str">
        <f>IF(VLOOKUP(G78,$C$32:$E$63,3,FALSE)="","",VLOOKUP(G78,$C$32:$E$63,3,FALSE))</f>
        <v/>
      </c>
      <c r="F78" s="47"/>
      <c r="G78" s="13"/>
      <c r="H78" s="46" t="str">
        <f>IFERROR(VLOOKUP(G78,$G$32:$H$63,2,FALSE),"")</f>
        <v/>
      </c>
      <c r="I78" s="47"/>
      <c r="J78" s="15"/>
      <c r="K78" s="48"/>
    </row>
    <row r="79" spans="2:11" ht="22.5" customHeight="1" x14ac:dyDescent="0.3">
      <c r="B79" s="42"/>
      <c r="C79" s="1" t="s">
        <v>1</v>
      </c>
      <c r="D79" s="8" t="str">
        <f t="shared" ref="D79:D80" si="8">IF(VLOOKUP(G79,$C$32:$E$63,2,FALSE)="","",VLOOKUP(G79,$C$32:$E$63,2,FALSE))</f>
        <v/>
      </c>
      <c r="E79" s="46" t="str">
        <f t="shared" ref="E79:E80" si="9">IF(VLOOKUP(G79,$C$32:$E$63,3,FALSE)="","",VLOOKUP(G79,$C$32:$E$63,3,FALSE))</f>
        <v/>
      </c>
      <c r="F79" s="47"/>
      <c r="G79" s="13"/>
      <c r="H79" s="46" t="str">
        <f t="shared" ref="H79:H86" si="10">IFERROR(VLOOKUP(G79,$G$32:$H$63,2,FALSE),"")</f>
        <v/>
      </c>
      <c r="I79" s="47"/>
      <c r="J79" s="15"/>
      <c r="K79" s="49"/>
    </row>
    <row r="80" spans="2:11" ht="22.5" customHeight="1" x14ac:dyDescent="0.3">
      <c r="B80" s="42"/>
      <c r="C80" s="1" t="s">
        <v>2</v>
      </c>
      <c r="D80" s="8" t="str">
        <f t="shared" si="8"/>
        <v/>
      </c>
      <c r="E80" s="46" t="str">
        <f t="shared" si="9"/>
        <v/>
      </c>
      <c r="F80" s="47"/>
      <c r="G80" s="13"/>
      <c r="H80" s="46" t="str">
        <f t="shared" si="10"/>
        <v/>
      </c>
      <c r="I80" s="47"/>
      <c r="J80" s="15"/>
      <c r="K80" s="49"/>
    </row>
    <row r="81" spans="2:11" ht="22.5" customHeight="1" x14ac:dyDescent="0.3">
      <c r="B81" s="42"/>
      <c r="C81" s="2" t="s">
        <v>18</v>
      </c>
      <c r="D81" s="7"/>
      <c r="E81" s="51"/>
      <c r="F81" s="52"/>
      <c r="G81" s="17"/>
      <c r="H81" s="51"/>
      <c r="I81" s="52"/>
      <c r="J81" s="16"/>
      <c r="K81" s="49"/>
    </row>
    <row r="82" spans="2:11" ht="22.5" customHeight="1" x14ac:dyDescent="0.3">
      <c r="B82" s="42"/>
      <c r="C82" s="1" t="s">
        <v>3</v>
      </c>
      <c r="D82" s="8" t="str">
        <f>IF(VLOOKUP(G82,$C$32:$E$63,2,FALSE)="","",VLOOKUP(G82,$C$32:$E$63,2,FALSE))</f>
        <v/>
      </c>
      <c r="E82" s="46" t="str">
        <f>IF(VLOOKUP(G82,$C$32:$E$63,3,FALSE)="","",VLOOKUP(G82,$C$32:$E$63,3,FALSE))</f>
        <v/>
      </c>
      <c r="F82" s="47"/>
      <c r="G82" s="13"/>
      <c r="H82" s="46" t="str">
        <f t="shared" si="10"/>
        <v/>
      </c>
      <c r="I82" s="47"/>
      <c r="J82" s="15"/>
      <c r="K82" s="49"/>
    </row>
    <row r="83" spans="2:11" ht="22.5" customHeight="1" x14ac:dyDescent="0.3">
      <c r="B83" s="42"/>
      <c r="C83" s="1" t="s">
        <v>4</v>
      </c>
      <c r="D83" s="8" t="str">
        <f t="shared" ref="D83:D86" si="11">IF(VLOOKUP(G83,$C$32:$E$63,2,FALSE)="","",VLOOKUP(G83,$C$32:$E$63,2,FALSE))</f>
        <v/>
      </c>
      <c r="E83" s="46" t="str">
        <f t="shared" ref="E83:E86" si="12">IF(VLOOKUP(G83,$C$32:$E$63,3,FALSE)="","",VLOOKUP(G83,$C$32:$E$63,3,FALSE))</f>
        <v/>
      </c>
      <c r="F83" s="47"/>
      <c r="G83" s="13"/>
      <c r="H83" s="46" t="str">
        <f t="shared" si="10"/>
        <v/>
      </c>
      <c r="I83" s="47"/>
      <c r="J83" s="15"/>
      <c r="K83" s="49"/>
    </row>
    <row r="84" spans="2:11" ht="22.5" customHeight="1" x14ac:dyDescent="0.3">
      <c r="B84" s="42"/>
      <c r="C84" s="1" t="s">
        <v>5</v>
      </c>
      <c r="D84" s="8" t="str">
        <f t="shared" si="11"/>
        <v/>
      </c>
      <c r="E84" s="46" t="str">
        <f t="shared" si="12"/>
        <v/>
      </c>
      <c r="F84" s="47"/>
      <c r="G84" s="13"/>
      <c r="H84" s="46" t="str">
        <f t="shared" si="10"/>
        <v/>
      </c>
      <c r="I84" s="47"/>
      <c r="J84" s="15"/>
      <c r="K84" s="49"/>
    </row>
    <row r="85" spans="2:11" ht="22.5" customHeight="1" x14ac:dyDescent="0.3">
      <c r="B85" s="42"/>
      <c r="C85" s="1" t="s">
        <v>6</v>
      </c>
      <c r="D85" s="8" t="str">
        <f t="shared" si="11"/>
        <v/>
      </c>
      <c r="E85" s="46" t="str">
        <f t="shared" si="12"/>
        <v/>
      </c>
      <c r="F85" s="47"/>
      <c r="G85" s="13"/>
      <c r="H85" s="46" t="str">
        <f t="shared" si="10"/>
        <v/>
      </c>
      <c r="I85" s="47"/>
      <c r="J85" s="15"/>
      <c r="K85" s="49"/>
    </row>
    <row r="86" spans="2:11" ht="22.5" customHeight="1" x14ac:dyDescent="0.3">
      <c r="B86" s="43"/>
      <c r="C86" s="1" t="s">
        <v>7</v>
      </c>
      <c r="D86" s="8" t="str">
        <f t="shared" si="11"/>
        <v/>
      </c>
      <c r="E86" s="46" t="str">
        <f t="shared" si="12"/>
        <v/>
      </c>
      <c r="F86" s="47"/>
      <c r="G86" s="13"/>
      <c r="H86" s="46" t="str">
        <f t="shared" si="10"/>
        <v/>
      </c>
      <c r="I86" s="47"/>
      <c r="J86" s="15"/>
      <c r="K86" s="50"/>
    </row>
    <row r="87" spans="2:11" ht="22.5" customHeight="1" x14ac:dyDescent="0.3">
      <c r="B87" s="41" t="s">
        <v>17</v>
      </c>
      <c r="C87" s="5" t="s">
        <v>8</v>
      </c>
      <c r="D87" s="5" t="s">
        <v>10</v>
      </c>
      <c r="E87" s="44" t="s">
        <v>13</v>
      </c>
      <c r="F87" s="45"/>
      <c r="G87" s="12" t="s">
        <v>11</v>
      </c>
      <c r="H87" s="44" t="s">
        <v>12</v>
      </c>
      <c r="I87" s="45"/>
      <c r="J87" s="12" t="s">
        <v>14</v>
      </c>
      <c r="K87" s="12" t="s">
        <v>33</v>
      </c>
    </row>
    <row r="88" spans="2:11" ht="22.5" customHeight="1" x14ac:dyDescent="0.3">
      <c r="B88" s="42"/>
      <c r="C88" s="1" t="s">
        <v>0</v>
      </c>
      <c r="D88" s="8" t="str">
        <f>IF(VLOOKUP(G88,$C$32:$E$63,2,FALSE)="","",VLOOKUP(G88,$C$32:$E$63,2,FALSE))</f>
        <v/>
      </c>
      <c r="E88" s="46" t="str">
        <f>IF(VLOOKUP(G88,$C$32:$E$63,3,FALSE)="","",VLOOKUP(G88,$C$32:$E$63,3,FALSE))</f>
        <v/>
      </c>
      <c r="F88" s="47"/>
      <c r="G88" s="13"/>
      <c r="H88" s="46" t="str">
        <f>IFERROR(VLOOKUP(G88,$G$32:$H$63,2,FALSE),"")</f>
        <v/>
      </c>
      <c r="I88" s="47"/>
      <c r="J88" s="15"/>
      <c r="K88" s="48"/>
    </row>
    <row r="89" spans="2:11" ht="22.5" customHeight="1" x14ac:dyDescent="0.3">
      <c r="B89" s="42"/>
      <c r="C89" s="1" t="s">
        <v>1</v>
      </c>
      <c r="D89" s="8" t="str">
        <f t="shared" ref="D89:D90" si="13">IF(VLOOKUP(G89,$C$32:$E$63,2,FALSE)="","",VLOOKUP(G89,$C$32:$E$63,2,FALSE))</f>
        <v/>
      </c>
      <c r="E89" s="46" t="str">
        <f t="shared" ref="E89:E90" si="14">IF(VLOOKUP(G89,$C$32:$E$63,3,FALSE)="","",VLOOKUP(G89,$C$32:$E$63,3,FALSE))</f>
        <v/>
      </c>
      <c r="F89" s="47"/>
      <c r="G89" s="13"/>
      <c r="H89" s="46" t="str">
        <f t="shared" ref="H89:H96" si="15">IFERROR(VLOOKUP(G89,$G$32:$H$63,2,FALSE),"")</f>
        <v/>
      </c>
      <c r="I89" s="47"/>
      <c r="J89" s="15"/>
      <c r="K89" s="49"/>
    </row>
    <row r="90" spans="2:11" ht="22.5" customHeight="1" x14ac:dyDescent="0.3">
      <c r="B90" s="42"/>
      <c r="C90" s="1" t="s">
        <v>2</v>
      </c>
      <c r="D90" s="8" t="str">
        <f t="shared" si="13"/>
        <v/>
      </c>
      <c r="E90" s="46" t="str">
        <f t="shared" si="14"/>
        <v/>
      </c>
      <c r="F90" s="47"/>
      <c r="G90" s="13"/>
      <c r="H90" s="46" t="str">
        <f t="shared" si="15"/>
        <v/>
      </c>
      <c r="I90" s="47"/>
      <c r="J90" s="15"/>
      <c r="K90" s="49"/>
    </row>
    <row r="91" spans="2:11" ht="22.5" customHeight="1" x14ac:dyDescent="0.3">
      <c r="B91" s="42"/>
      <c r="C91" s="2" t="s">
        <v>18</v>
      </c>
      <c r="D91" s="7"/>
      <c r="E91" s="51"/>
      <c r="F91" s="52"/>
      <c r="G91" s="17"/>
      <c r="H91" s="51"/>
      <c r="I91" s="52"/>
      <c r="J91" s="16"/>
      <c r="K91" s="49"/>
    </row>
    <row r="92" spans="2:11" ht="22.5" customHeight="1" x14ac:dyDescent="0.3">
      <c r="B92" s="42"/>
      <c r="C92" s="1" t="s">
        <v>3</v>
      </c>
      <c r="D92" s="8" t="str">
        <f>IF(VLOOKUP(G92,$C$32:$E$63,2,FALSE)="","",VLOOKUP(G92,$C$32:$E$63,2,FALSE))</f>
        <v/>
      </c>
      <c r="E92" s="46" t="str">
        <f>IF(VLOOKUP(G92,$C$32:$E$63,3,FALSE)="","",VLOOKUP(G92,$C$32:$E$63,3,FALSE))</f>
        <v/>
      </c>
      <c r="F92" s="47"/>
      <c r="G92" s="13"/>
      <c r="H92" s="46" t="str">
        <f t="shared" si="15"/>
        <v/>
      </c>
      <c r="I92" s="47"/>
      <c r="J92" s="15"/>
      <c r="K92" s="49"/>
    </row>
    <row r="93" spans="2:11" ht="22.5" customHeight="1" x14ac:dyDescent="0.3">
      <c r="B93" s="42"/>
      <c r="C93" s="1" t="s">
        <v>4</v>
      </c>
      <c r="D93" s="8" t="str">
        <f t="shared" ref="D93:D96" si="16">IF(VLOOKUP(G93,$C$32:$E$63,2,FALSE)="","",VLOOKUP(G93,$C$32:$E$63,2,FALSE))</f>
        <v/>
      </c>
      <c r="E93" s="46" t="str">
        <f t="shared" ref="E93:E96" si="17">IF(VLOOKUP(G93,$C$32:$E$63,3,FALSE)="","",VLOOKUP(G93,$C$32:$E$63,3,FALSE))</f>
        <v/>
      </c>
      <c r="F93" s="47"/>
      <c r="G93" s="13"/>
      <c r="H93" s="46" t="str">
        <f t="shared" si="15"/>
        <v/>
      </c>
      <c r="I93" s="47"/>
      <c r="J93" s="15"/>
      <c r="K93" s="49"/>
    </row>
    <row r="94" spans="2:11" ht="22.5" customHeight="1" x14ac:dyDescent="0.3">
      <c r="B94" s="42"/>
      <c r="C94" s="1" t="s">
        <v>5</v>
      </c>
      <c r="D94" s="8" t="str">
        <f t="shared" si="16"/>
        <v/>
      </c>
      <c r="E94" s="46" t="str">
        <f t="shared" si="17"/>
        <v/>
      </c>
      <c r="F94" s="47"/>
      <c r="G94" s="13"/>
      <c r="H94" s="46" t="str">
        <f t="shared" si="15"/>
        <v/>
      </c>
      <c r="I94" s="47"/>
      <c r="J94" s="15"/>
      <c r="K94" s="49"/>
    </row>
    <row r="95" spans="2:11" ht="22.5" customHeight="1" x14ac:dyDescent="0.3">
      <c r="B95" s="42"/>
      <c r="C95" s="1" t="s">
        <v>6</v>
      </c>
      <c r="D95" s="8" t="str">
        <f t="shared" si="16"/>
        <v/>
      </c>
      <c r="E95" s="46" t="str">
        <f t="shared" si="17"/>
        <v/>
      </c>
      <c r="F95" s="47"/>
      <c r="G95" s="13"/>
      <c r="H95" s="46" t="str">
        <f t="shared" si="15"/>
        <v/>
      </c>
      <c r="I95" s="47"/>
      <c r="J95" s="15"/>
      <c r="K95" s="49"/>
    </row>
    <row r="96" spans="2:11" ht="22.5" customHeight="1" x14ac:dyDescent="0.3">
      <c r="B96" s="43"/>
      <c r="C96" s="1" t="s">
        <v>7</v>
      </c>
      <c r="D96" s="8" t="str">
        <f t="shared" si="16"/>
        <v/>
      </c>
      <c r="E96" s="46" t="str">
        <f t="shared" si="17"/>
        <v/>
      </c>
      <c r="F96" s="47"/>
      <c r="G96" s="13"/>
      <c r="H96" s="46" t="str">
        <f t="shared" si="15"/>
        <v/>
      </c>
      <c r="I96" s="47"/>
      <c r="J96" s="15"/>
      <c r="K96" s="50"/>
    </row>
    <row r="97" spans="2:11" ht="22.5" customHeight="1" x14ac:dyDescent="0.3">
      <c r="B97" s="41" t="s">
        <v>19</v>
      </c>
      <c r="C97" s="5" t="s">
        <v>8</v>
      </c>
      <c r="D97" s="5" t="s">
        <v>10</v>
      </c>
      <c r="E97" s="44" t="s">
        <v>13</v>
      </c>
      <c r="F97" s="45"/>
      <c r="G97" s="12" t="s">
        <v>11</v>
      </c>
      <c r="H97" s="44" t="s">
        <v>12</v>
      </c>
      <c r="I97" s="45"/>
      <c r="J97" s="12" t="s">
        <v>14</v>
      </c>
      <c r="K97" s="12" t="s">
        <v>34</v>
      </c>
    </row>
    <row r="98" spans="2:11" ht="22.5" customHeight="1" x14ac:dyDescent="0.3">
      <c r="B98" s="42"/>
      <c r="C98" s="1" t="s">
        <v>0</v>
      </c>
      <c r="D98" s="8" t="str">
        <f>IF(VLOOKUP(G98,$C$32:$E$63,2,FALSE)="","",VLOOKUP(G98,$C$32:$E$63,2,FALSE))</f>
        <v/>
      </c>
      <c r="E98" s="46" t="str">
        <f>IF(VLOOKUP(G98,$C$32:$E$63,3,FALSE)="","",VLOOKUP(G98,$C$32:$E$63,3,FALSE))</f>
        <v/>
      </c>
      <c r="F98" s="47"/>
      <c r="G98" s="13"/>
      <c r="H98" s="46" t="str">
        <f>IFERROR(VLOOKUP(G98,$G$32:$H$63,2,FALSE),"")</f>
        <v/>
      </c>
      <c r="I98" s="47"/>
      <c r="J98" s="15"/>
      <c r="K98" s="48"/>
    </row>
    <row r="99" spans="2:11" ht="22.5" customHeight="1" x14ac:dyDescent="0.3">
      <c r="B99" s="42"/>
      <c r="C99" s="1" t="s">
        <v>1</v>
      </c>
      <c r="D99" s="8" t="str">
        <f t="shared" ref="D99:D100" si="18">IF(VLOOKUP(G99,$C$32:$E$63,2,FALSE)="","",VLOOKUP(G99,$C$32:$E$63,2,FALSE))</f>
        <v/>
      </c>
      <c r="E99" s="46" t="str">
        <f t="shared" ref="E99:E100" si="19">IF(VLOOKUP(G99,$C$32:$E$63,3,FALSE)="","",VLOOKUP(G99,$C$32:$E$63,3,FALSE))</f>
        <v/>
      </c>
      <c r="F99" s="47"/>
      <c r="G99" s="13"/>
      <c r="H99" s="46" t="str">
        <f t="shared" ref="H99:H106" si="20">IFERROR(VLOOKUP(G99,$G$32:$H$63,2,FALSE),"")</f>
        <v/>
      </c>
      <c r="I99" s="47"/>
      <c r="J99" s="15"/>
      <c r="K99" s="49"/>
    </row>
    <row r="100" spans="2:11" ht="22.5" customHeight="1" x14ac:dyDescent="0.3">
      <c r="B100" s="42"/>
      <c r="C100" s="1" t="s">
        <v>2</v>
      </c>
      <c r="D100" s="8" t="str">
        <f t="shared" si="18"/>
        <v/>
      </c>
      <c r="E100" s="46" t="str">
        <f t="shared" si="19"/>
        <v/>
      </c>
      <c r="F100" s="47"/>
      <c r="G100" s="13"/>
      <c r="H100" s="46" t="str">
        <f t="shared" si="20"/>
        <v/>
      </c>
      <c r="I100" s="47"/>
      <c r="J100" s="15"/>
      <c r="K100" s="49"/>
    </row>
    <row r="101" spans="2:11" ht="22.5" customHeight="1" x14ac:dyDescent="0.3">
      <c r="B101" s="42"/>
      <c r="C101" s="2" t="s">
        <v>18</v>
      </c>
      <c r="D101" s="7"/>
      <c r="E101" s="51"/>
      <c r="F101" s="52"/>
      <c r="G101" s="17"/>
      <c r="H101" s="51"/>
      <c r="I101" s="52"/>
      <c r="J101" s="16"/>
      <c r="K101" s="49"/>
    </row>
    <row r="102" spans="2:11" ht="22.5" customHeight="1" x14ac:dyDescent="0.3">
      <c r="B102" s="42"/>
      <c r="C102" s="1" t="s">
        <v>3</v>
      </c>
      <c r="D102" s="8" t="str">
        <f>IF(VLOOKUP(G102,$C$32:$E$63,2,FALSE)="","",VLOOKUP(G102,$C$32:$E$63,2,FALSE))</f>
        <v/>
      </c>
      <c r="E102" s="46" t="str">
        <f>IF(VLOOKUP(G102,$C$32:$E$63,3,FALSE)="","",VLOOKUP(G102,$C$32:$E$63,3,FALSE))</f>
        <v/>
      </c>
      <c r="F102" s="47"/>
      <c r="G102" s="13"/>
      <c r="H102" s="46" t="str">
        <f t="shared" si="20"/>
        <v/>
      </c>
      <c r="I102" s="47"/>
      <c r="J102" s="15"/>
      <c r="K102" s="49"/>
    </row>
    <row r="103" spans="2:11" ht="22.5" customHeight="1" x14ac:dyDescent="0.3">
      <c r="B103" s="42"/>
      <c r="C103" s="1" t="s">
        <v>4</v>
      </c>
      <c r="D103" s="8" t="str">
        <f t="shared" ref="D103:D106" si="21">IF(VLOOKUP(G103,$C$32:$E$63,2,FALSE)="","",VLOOKUP(G103,$C$32:$E$63,2,FALSE))</f>
        <v/>
      </c>
      <c r="E103" s="46" t="str">
        <f t="shared" ref="E103:E106" si="22">IF(VLOOKUP(G103,$C$32:$E$63,3,FALSE)="","",VLOOKUP(G103,$C$32:$E$63,3,FALSE))</f>
        <v/>
      </c>
      <c r="F103" s="47"/>
      <c r="G103" s="13"/>
      <c r="H103" s="46" t="str">
        <f t="shared" si="20"/>
        <v/>
      </c>
      <c r="I103" s="47"/>
      <c r="J103" s="15"/>
      <c r="K103" s="49"/>
    </row>
    <row r="104" spans="2:11" ht="22.5" customHeight="1" x14ac:dyDescent="0.3">
      <c r="B104" s="42"/>
      <c r="C104" s="1" t="s">
        <v>5</v>
      </c>
      <c r="D104" s="8" t="str">
        <f t="shared" si="21"/>
        <v/>
      </c>
      <c r="E104" s="46" t="str">
        <f t="shared" si="22"/>
        <v/>
      </c>
      <c r="F104" s="47"/>
      <c r="G104" s="13"/>
      <c r="H104" s="46" t="str">
        <f t="shared" si="20"/>
        <v/>
      </c>
      <c r="I104" s="47"/>
      <c r="J104" s="15"/>
      <c r="K104" s="49"/>
    </row>
    <row r="105" spans="2:11" ht="22.5" customHeight="1" x14ac:dyDescent="0.3">
      <c r="B105" s="42"/>
      <c r="C105" s="1" t="s">
        <v>6</v>
      </c>
      <c r="D105" s="8" t="str">
        <f t="shared" si="21"/>
        <v/>
      </c>
      <c r="E105" s="46" t="str">
        <f t="shared" si="22"/>
        <v/>
      </c>
      <c r="F105" s="47"/>
      <c r="G105" s="13"/>
      <c r="H105" s="46" t="str">
        <f t="shared" si="20"/>
        <v/>
      </c>
      <c r="I105" s="47"/>
      <c r="J105" s="15"/>
      <c r="K105" s="49"/>
    </row>
    <row r="106" spans="2:11" ht="22.5" customHeight="1" x14ac:dyDescent="0.3">
      <c r="B106" s="43"/>
      <c r="C106" s="1" t="s">
        <v>7</v>
      </c>
      <c r="D106" s="8" t="str">
        <f t="shared" si="21"/>
        <v/>
      </c>
      <c r="E106" s="46" t="str">
        <f t="shared" si="22"/>
        <v/>
      </c>
      <c r="F106" s="47"/>
      <c r="G106" s="13"/>
      <c r="H106" s="46" t="str">
        <f t="shared" si="20"/>
        <v/>
      </c>
      <c r="I106" s="47"/>
      <c r="J106" s="15"/>
      <c r="K106" s="50"/>
    </row>
    <row r="107" spans="2:11" ht="22.5" customHeight="1" x14ac:dyDescent="0.3">
      <c r="B107" s="41" t="s">
        <v>20</v>
      </c>
      <c r="C107" s="5" t="s">
        <v>8</v>
      </c>
      <c r="D107" s="5" t="s">
        <v>10</v>
      </c>
      <c r="E107" s="44" t="s">
        <v>13</v>
      </c>
      <c r="F107" s="45"/>
      <c r="G107" s="12" t="s">
        <v>11</v>
      </c>
      <c r="H107" s="44" t="s">
        <v>12</v>
      </c>
      <c r="I107" s="45"/>
      <c r="J107" s="12" t="s">
        <v>14</v>
      </c>
      <c r="K107" s="12" t="s">
        <v>35</v>
      </c>
    </row>
    <row r="108" spans="2:11" ht="22.5" customHeight="1" x14ac:dyDescent="0.3">
      <c r="B108" s="42"/>
      <c r="C108" s="1" t="s">
        <v>0</v>
      </c>
      <c r="D108" s="8" t="str">
        <f>IF(VLOOKUP(G108,$C$32:$E$63,2,FALSE)="","",VLOOKUP(G108,$C$32:$E$63,2,FALSE))</f>
        <v/>
      </c>
      <c r="E108" s="46" t="str">
        <f>IF(VLOOKUP(G108,$C$32:$E$63,3,FALSE)="","",VLOOKUP(G108,$C$32:$E$63,3,FALSE))</f>
        <v/>
      </c>
      <c r="F108" s="47"/>
      <c r="G108" s="13"/>
      <c r="H108" s="46" t="str">
        <f>IFERROR(VLOOKUP(G108,$G$32:$H$63,2,FALSE),"")</f>
        <v/>
      </c>
      <c r="I108" s="47"/>
      <c r="J108" s="15"/>
      <c r="K108" s="48"/>
    </row>
    <row r="109" spans="2:11" ht="22.5" customHeight="1" x14ac:dyDescent="0.3">
      <c r="B109" s="42"/>
      <c r="C109" s="1" t="s">
        <v>1</v>
      </c>
      <c r="D109" s="8" t="str">
        <f t="shared" ref="D109:D110" si="23">IF(VLOOKUP(G109,$C$32:$E$63,2,FALSE)="","",VLOOKUP(G109,$C$32:$E$63,2,FALSE))</f>
        <v/>
      </c>
      <c r="E109" s="46" t="str">
        <f t="shared" ref="E109:E110" si="24">IF(VLOOKUP(G109,$C$32:$E$63,3,FALSE)="","",VLOOKUP(G109,$C$32:$E$63,3,FALSE))</f>
        <v/>
      </c>
      <c r="F109" s="47"/>
      <c r="G109" s="13"/>
      <c r="H109" s="46" t="str">
        <f t="shared" ref="H109:H116" si="25">IFERROR(VLOOKUP(G109,$G$32:$H$63,2,FALSE),"")</f>
        <v/>
      </c>
      <c r="I109" s="47"/>
      <c r="J109" s="15"/>
      <c r="K109" s="49"/>
    </row>
    <row r="110" spans="2:11" ht="22.5" customHeight="1" x14ac:dyDescent="0.3">
      <c r="B110" s="42"/>
      <c r="C110" s="1" t="s">
        <v>2</v>
      </c>
      <c r="D110" s="8" t="str">
        <f t="shared" si="23"/>
        <v/>
      </c>
      <c r="E110" s="46" t="str">
        <f t="shared" si="24"/>
        <v/>
      </c>
      <c r="F110" s="47"/>
      <c r="G110" s="13"/>
      <c r="H110" s="46" t="str">
        <f t="shared" si="25"/>
        <v/>
      </c>
      <c r="I110" s="47"/>
      <c r="J110" s="15"/>
      <c r="K110" s="49"/>
    </row>
    <row r="111" spans="2:11" ht="22.5" customHeight="1" x14ac:dyDescent="0.3">
      <c r="B111" s="42"/>
      <c r="C111" s="2" t="s">
        <v>18</v>
      </c>
      <c r="D111" s="7"/>
      <c r="E111" s="51"/>
      <c r="F111" s="52"/>
      <c r="G111" s="17"/>
      <c r="H111" s="51"/>
      <c r="I111" s="52"/>
      <c r="J111" s="16"/>
      <c r="K111" s="49"/>
    </row>
    <row r="112" spans="2:11" ht="22.5" customHeight="1" x14ac:dyDescent="0.3">
      <c r="B112" s="42"/>
      <c r="C112" s="1" t="s">
        <v>3</v>
      </c>
      <c r="D112" s="8" t="str">
        <f>IF(VLOOKUP(G112,$C$32:$E$63,2,FALSE)="","",VLOOKUP(G112,$C$32:$E$63,2,FALSE))</f>
        <v/>
      </c>
      <c r="E112" s="46" t="str">
        <f>IF(VLOOKUP(G112,$C$32:$E$63,3,FALSE)="","",VLOOKUP(G112,$C$32:$E$63,3,FALSE))</f>
        <v/>
      </c>
      <c r="F112" s="47"/>
      <c r="G112" s="13"/>
      <c r="H112" s="46" t="str">
        <f t="shared" si="25"/>
        <v/>
      </c>
      <c r="I112" s="47"/>
      <c r="J112" s="15"/>
      <c r="K112" s="49"/>
    </row>
    <row r="113" spans="2:11" ht="22.5" customHeight="1" x14ac:dyDescent="0.3">
      <c r="B113" s="42"/>
      <c r="C113" s="1" t="s">
        <v>4</v>
      </c>
      <c r="D113" s="8" t="str">
        <f t="shared" ref="D113:D116" si="26">IF(VLOOKUP(G113,$C$32:$E$63,2,FALSE)="","",VLOOKUP(G113,$C$32:$E$63,2,FALSE))</f>
        <v/>
      </c>
      <c r="E113" s="46" t="str">
        <f t="shared" ref="E113:E116" si="27">IF(VLOOKUP(G113,$C$32:$E$63,3,FALSE)="","",VLOOKUP(G113,$C$32:$E$63,3,FALSE))</f>
        <v/>
      </c>
      <c r="F113" s="47"/>
      <c r="G113" s="13"/>
      <c r="H113" s="46" t="str">
        <f t="shared" si="25"/>
        <v/>
      </c>
      <c r="I113" s="47"/>
      <c r="J113" s="15"/>
      <c r="K113" s="49"/>
    </row>
    <row r="114" spans="2:11" ht="22.5" customHeight="1" x14ac:dyDescent="0.3">
      <c r="B114" s="42"/>
      <c r="C114" s="1" t="s">
        <v>5</v>
      </c>
      <c r="D114" s="8" t="str">
        <f t="shared" si="26"/>
        <v/>
      </c>
      <c r="E114" s="46" t="str">
        <f t="shared" si="27"/>
        <v/>
      </c>
      <c r="F114" s="47"/>
      <c r="G114" s="13"/>
      <c r="H114" s="46" t="str">
        <f t="shared" si="25"/>
        <v/>
      </c>
      <c r="I114" s="47"/>
      <c r="J114" s="15"/>
      <c r="K114" s="49"/>
    </row>
    <row r="115" spans="2:11" ht="22.5" customHeight="1" x14ac:dyDescent="0.3">
      <c r="B115" s="42"/>
      <c r="C115" s="1" t="s">
        <v>6</v>
      </c>
      <c r="D115" s="8" t="str">
        <f t="shared" si="26"/>
        <v/>
      </c>
      <c r="E115" s="46" t="str">
        <f t="shared" si="27"/>
        <v/>
      </c>
      <c r="F115" s="47"/>
      <c r="G115" s="13"/>
      <c r="H115" s="46" t="str">
        <f t="shared" si="25"/>
        <v/>
      </c>
      <c r="I115" s="47"/>
      <c r="J115" s="15"/>
      <c r="K115" s="49"/>
    </row>
    <row r="116" spans="2:11" ht="22.5" customHeight="1" x14ac:dyDescent="0.3">
      <c r="B116" s="43"/>
      <c r="C116" s="1" t="s">
        <v>7</v>
      </c>
      <c r="D116" s="8" t="str">
        <f t="shared" si="26"/>
        <v/>
      </c>
      <c r="E116" s="46" t="str">
        <f t="shared" si="27"/>
        <v/>
      </c>
      <c r="F116" s="47"/>
      <c r="G116" s="13"/>
      <c r="H116" s="46" t="str">
        <f t="shared" si="25"/>
        <v/>
      </c>
      <c r="I116" s="47"/>
      <c r="J116" s="15"/>
      <c r="K116" s="5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C5:I5"/>
    <mergeCell ref="J5:K5"/>
    <mergeCell ref="C6:I6"/>
    <mergeCell ref="J6:K6"/>
    <mergeCell ref="C7:I7"/>
    <mergeCell ref="J7:K7"/>
    <mergeCell ref="A1:K1"/>
    <mergeCell ref="C2:I2"/>
    <mergeCell ref="J2:K2"/>
    <mergeCell ref="C3:I3"/>
    <mergeCell ref="J3:K3"/>
    <mergeCell ref="C4:I4"/>
    <mergeCell ref="J4:K4"/>
    <mergeCell ref="C11:I11"/>
    <mergeCell ref="A12:K12"/>
    <mergeCell ref="C13:I13"/>
    <mergeCell ref="J13:K13"/>
    <mergeCell ref="C14:I14"/>
    <mergeCell ref="J14:K14"/>
    <mergeCell ref="C8:I8"/>
    <mergeCell ref="J8:K8"/>
    <mergeCell ref="C9:I9"/>
    <mergeCell ref="J9:K9"/>
    <mergeCell ref="C10:I10"/>
    <mergeCell ref="J10:K10"/>
    <mergeCell ref="C18:I18"/>
    <mergeCell ref="J18:K18"/>
    <mergeCell ref="C19:I19"/>
    <mergeCell ref="J19:K19"/>
    <mergeCell ref="C20:I20"/>
    <mergeCell ref="J20:K20"/>
    <mergeCell ref="C15:I15"/>
    <mergeCell ref="J15:K15"/>
    <mergeCell ref="C16:I16"/>
    <mergeCell ref="J16:K16"/>
    <mergeCell ref="C17:I17"/>
    <mergeCell ref="J17:K17"/>
    <mergeCell ref="C25:I25"/>
    <mergeCell ref="J25:K25"/>
    <mergeCell ref="C26:I26"/>
    <mergeCell ref="J26:K26"/>
    <mergeCell ref="C27:I27"/>
    <mergeCell ref="J27:K27"/>
    <mergeCell ref="C21:I21"/>
    <mergeCell ref="J21:K21"/>
    <mergeCell ref="B22:B24"/>
    <mergeCell ref="C22:I22"/>
    <mergeCell ref="J22:K22"/>
    <mergeCell ref="C23:I23"/>
    <mergeCell ref="J23:K23"/>
    <mergeCell ref="C24:I24"/>
    <mergeCell ref="J24:K24"/>
    <mergeCell ref="C28:I28"/>
    <mergeCell ref="J28:K28"/>
    <mergeCell ref="B67:B76"/>
    <mergeCell ref="E67:F67"/>
    <mergeCell ref="H67:I67"/>
    <mergeCell ref="E68:F68"/>
    <mergeCell ref="H68:I68"/>
    <mergeCell ref="K68:K76"/>
    <mergeCell ref="E69:F69"/>
    <mergeCell ref="H69:I69"/>
    <mergeCell ref="E73:F73"/>
    <mergeCell ref="H73:I73"/>
    <mergeCell ref="E74:F74"/>
    <mergeCell ref="H74:I74"/>
    <mergeCell ref="E75:F75"/>
    <mergeCell ref="H75:I75"/>
    <mergeCell ref="E70:F70"/>
    <mergeCell ref="H70:I70"/>
    <mergeCell ref="E71:F71"/>
    <mergeCell ref="H71:I71"/>
    <mergeCell ref="E72:F72"/>
    <mergeCell ref="H72:I72"/>
    <mergeCell ref="E76:F76"/>
    <mergeCell ref="H76:I76"/>
    <mergeCell ref="B77:B86"/>
    <mergeCell ref="E77:F77"/>
    <mergeCell ref="H77:I77"/>
    <mergeCell ref="E78:F78"/>
    <mergeCell ref="H78:I78"/>
    <mergeCell ref="H83:I83"/>
    <mergeCell ref="E84:F84"/>
    <mergeCell ref="H84:I84"/>
    <mergeCell ref="K78:K86"/>
    <mergeCell ref="E79:F79"/>
    <mergeCell ref="H79:I79"/>
    <mergeCell ref="E80:F80"/>
    <mergeCell ref="H80:I80"/>
    <mergeCell ref="E81:F81"/>
    <mergeCell ref="H81:I81"/>
    <mergeCell ref="E82:F82"/>
    <mergeCell ref="H82:I82"/>
    <mergeCell ref="E83:F83"/>
    <mergeCell ref="E85:F85"/>
    <mergeCell ref="H85:I85"/>
    <mergeCell ref="E86:F86"/>
    <mergeCell ref="H86:I86"/>
    <mergeCell ref="B87:B96"/>
    <mergeCell ref="E87:F87"/>
    <mergeCell ref="H87:I87"/>
    <mergeCell ref="E88:F88"/>
    <mergeCell ref="H88:I88"/>
    <mergeCell ref="H93:I93"/>
    <mergeCell ref="E94:F94"/>
    <mergeCell ref="H94:I94"/>
    <mergeCell ref="E95:F95"/>
    <mergeCell ref="H95:I95"/>
    <mergeCell ref="E96:F96"/>
    <mergeCell ref="H96:I96"/>
    <mergeCell ref="K88:K96"/>
    <mergeCell ref="E89:F89"/>
    <mergeCell ref="H89:I89"/>
    <mergeCell ref="E90:F90"/>
    <mergeCell ref="H90:I90"/>
    <mergeCell ref="E91:F91"/>
    <mergeCell ref="H91:I91"/>
    <mergeCell ref="E92:F92"/>
    <mergeCell ref="H92:I92"/>
    <mergeCell ref="E93:F9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8DE8267-71E9-45D2-8FB7-2326C0AB1C21}">
          <x14:formula1>
            <xm:f>통합!$A$3:$A$44</xm:f>
          </x14:formula1>
          <xm:sqref>J32:J63 C2:I2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P128"/>
  <sheetViews>
    <sheetView topLeftCell="A22"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1:16" ht="27.75" customHeight="1" x14ac:dyDescent="0.3">
      <c r="A1" s="63" t="s">
        <v>284</v>
      </c>
      <c r="B1" s="63"/>
      <c r="C1" s="63"/>
      <c r="D1" s="63"/>
      <c r="E1" s="63"/>
      <c r="F1" s="63"/>
      <c r="G1" s="63"/>
      <c r="H1" s="63"/>
      <c r="I1" s="63"/>
      <c r="J1" s="63"/>
      <c r="K1" s="63"/>
    </row>
    <row r="2" spans="1:16" ht="21.75" customHeight="1" x14ac:dyDescent="0.3">
      <c r="B2" s="4" t="s">
        <v>216</v>
      </c>
      <c r="C2" s="53" t="s">
        <v>219</v>
      </c>
      <c r="D2" s="53"/>
      <c r="E2" s="53"/>
      <c r="F2" s="53"/>
      <c r="G2" s="53"/>
      <c r="H2" s="53"/>
      <c r="I2" s="54"/>
      <c r="J2" s="55"/>
      <c r="K2" s="55"/>
      <c r="L2" s="10"/>
      <c r="M2" s="10"/>
      <c r="N2" s="10"/>
      <c r="O2" s="10"/>
      <c r="P2" s="10"/>
    </row>
    <row r="3" spans="1:16" ht="21.75" customHeight="1" x14ac:dyDescent="0.3">
      <c r="A3" s="11" t="s">
        <v>180</v>
      </c>
      <c r="B3" s="4" t="s">
        <v>23</v>
      </c>
      <c r="C3" s="53" t="s">
        <v>241</v>
      </c>
      <c r="D3" s="53"/>
      <c r="E3" s="53"/>
      <c r="F3" s="53"/>
      <c r="G3" s="53"/>
      <c r="H3" s="53"/>
      <c r="I3" s="54"/>
      <c r="J3" s="55" t="s">
        <v>238</v>
      </c>
      <c r="K3" s="55"/>
      <c r="L3" s="10"/>
      <c r="M3" s="10"/>
      <c r="N3" s="10"/>
      <c r="O3" s="10"/>
      <c r="P3" s="10"/>
    </row>
    <row r="4" spans="1:16" ht="156.75" customHeight="1" x14ac:dyDescent="0.3">
      <c r="B4" s="4" t="s">
        <v>242</v>
      </c>
      <c r="C4" s="57" t="s">
        <v>243</v>
      </c>
      <c r="D4" s="53"/>
      <c r="E4" s="53"/>
      <c r="F4" s="53"/>
      <c r="G4" s="53"/>
      <c r="H4" s="53"/>
      <c r="I4" s="54"/>
      <c r="J4" s="55"/>
      <c r="K4" s="55"/>
      <c r="L4" s="10"/>
      <c r="M4" s="10"/>
      <c r="N4" s="10"/>
      <c r="O4" s="10"/>
      <c r="P4" s="10"/>
    </row>
    <row r="5" spans="1:16" ht="21.75" customHeight="1" x14ac:dyDescent="0.3">
      <c r="A5" s="11" t="s">
        <v>199</v>
      </c>
      <c r="B5" s="4" t="s">
        <v>195</v>
      </c>
      <c r="C5" s="53" t="str">
        <f>VLOOKUP($C$2,통합!$A$3:$H$44,2,FALSE)</f>
        <v>03.전자기기개발</v>
      </c>
      <c r="D5" s="53"/>
      <c r="E5" s="53"/>
      <c r="F5" s="53"/>
      <c r="G5" s="53"/>
      <c r="H5" s="53"/>
      <c r="I5" s="54"/>
      <c r="J5" s="55"/>
      <c r="K5" s="55"/>
      <c r="L5" s="10"/>
      <c r="M5" s="10"/>
      <c r="N5" s="10"/>
      <c r="O5" s="10"/>
      <c r="P5" s="10"/>
    </row>
    <row r="6" spans="1:16" ht="21.75" customHeight="1" x14ac:dyDescent="0.3">
      <c r="A6" s="11" t="s">
        <v>200</v>
      </c>
      <c r="B6" s="4" t="s">
        <v>196</v>
      </c>
      <c r="C6" s="53" t="str">
        <f>VLOOKUP($C$2,통합!$A$3:$H$44,3,FALSE)</f>
        <v xml:space="preserve">09.의료장비제조 </v>
      </c>
      <c r="D6" s="53"/>
      <c r="E6" s="53"/>
      <c r="F6" s="53"/>
      <c r="G6" s="53"/>
      <c r="H6" s="53"/>
      <c r="I6" s="54"/>
      <c r="J6" s="55"/>
      <c r="K6" s="55"/>
      <c r="L6" s="10"/>
      <c r="M6" s="10"/>
      <c r="N6" s="10"/>
      <c r="O6" s="10"/>
      <c r="P6" s="10"/>
    </row>
    <row r="7" spans="1:16" ht="21.75" customHeight="1" x14ac:dyDescent="0.3">
      <c r="A7" s="11" t="s">
        <v>201</v>
      </c>
      <c r="B7" s="4" t="s">
        <v>197</v>
      </c>
      <c r="C7" s="53" t="str">
        <f>VLOOKUP($C$2,통합!$A$3:$H$44,4,FALSE)</f>
        <v>01.의료기기품질관리</v>
      </c>
      <c r="D7" s="53"/>
      <c r="E7" s="53"/>
      <c r="F7" s="53"/>
      <c r="G7" s="53"/>
      <c r="H7" s="53"/>
      <c r="I7" s="54"/>
      <c r="J7" s="55"/>
      <c r="K7" s="55"/>
      <c r="L7" s="10"/>
      <c r="M7" s="10"/>
      <c r="N7" s="10"/>
      <c r="O7" s="10"/>
      <c r="P7" s="10"/>
    </row>
    <row r="8" spans="1:16" ht="21.75" customHeight="1" x14ac:dyDescent="0.3">
      <c r="A8" s="11" t="s">
        <v>202</v>
      </c>
      <c r="B8" s="4" t="s">
        <v>198</v>
      </c>
      <c r="C8" s="53" t="str">
        <f>VLOOKUP($C$2,통합!$A$3:$H$44,7,FALSE)&amp;"."&amp;VLOOKUP($C$2,통합!$A$3:$H$44,8,FALSE)</f>
        <v>02.의료기기 품질시스템 자원관리</v>
      </c>
      <c r="D8" s="53"/>
      <c r="E8" s="53"/>
      <c r="F8" s="53"/>
      <c r="G8" s="53"/>
      <c r="H8" s="53"/>
      <c r="I8" s="54"/>
      <c r="J8" s="55"/>
      <c r="K8" s="55"/>
      <c r="L8" s="10"/>
      <c r="M8" s="10"/>
      <c r="N8" s="10"/>
      <c r="O8" s="10"/>
      <c r="P8" s="10"/>
    </row>
    <row r="9" spans="1:16" ht="21.75" customHeight="1" x14ac:dyDescent="0.3">
      <c r="A9" s="11" t="s">
        <v>222</v>
      </c>
      <c r="B9" s="4" t="s">
        <v>187</v>
      </c>
      <c r="C9" s="53" t="str">
        <f>VLOOKUP($C$2,통합!$A$3:$H$44,6,FALSE)</f>
        <v>1903090102_21v2</v>
      </c>
      <c r="D9" s="53"/>
      <c r="E9" s="53"/>
      <c r="F9" s="53"/>
      <c r="G9" s="53"/>
      <c r="H9" s="53"/>
      <c r="I9" s="54"/>
      <c r="J9" s="55"/>
      <c r="K9" s="55"/>
      <c r="L9" s="10"/>
      <c r="M9" s="10"/>
      <c r="N9" s="10"/>
      <c r="O9" s="10"/>
      <c r="P9" s="10"/>
    </row>
    <row r="10" spans="1:16" ht="21.75" customHeight="1" x14ac:dyDescent="0.3">
      <c r="A10" s="11" t="s">
        <v>220</v>
      </c>
      <c r="B10" s="4" t="s">
        <v>24</v>
      </c>
      <c r="C10" s="53">
        <f>VLOOKUP($C$2,통합!$A$3:$H$44,5,FALSE)</f>
        <v>4</v>
      </c>
      <c r="D10" s="53"/>
      <c r="E10" s="53"/>
      <c r="F10" s="53"/>
      <c r="G10" s="53"/>
      <c r="H10" s="53"/>
      <c r="I10" s="54"/>
      <c r="J10" s="55"/>
      <c r="K10" s="55"/>
      <c r="L10" s="10"/>
      <c r="M10" s="10"/>
      <c r="N10" s="10"/>
      <c r="O10" s="10"/>
      <c r="P10" s="10"/>
    </row>
    <row r="11" spans="1:16" ht="21.75" customHeight="1" x14ac:dyDescent="0.3">
      <c r="A11" s="11" t="s">
        <v>185</v>
      </c>
      <c r="B11" s="4" t="s">
        <v>15</v>
      </c>
      <c r="C11" s="59" t="str">
        <f>F64&amp;"시간( "&amp;K117&amp;"일)"</f>
        <v>1시간( 0일)</v>
      </c>
      <c r="D11" s="59"/>
      <c r="E11" s="59"/>
      <c r="F11" s="59"/>
      <c r="G11" s="59"/>
      <c r="H11" s="59"/>
      <c r="I11" s="60"/>
      <c r="J11" s="18" t="s">
        <v>186</v>
      </c>
      <c r="K11" s="18"/>
      <c r="L11" s="10"/>
      <c r="M11" s="10"/>
      <c r="N11" s="10"/>
      <c r="O11" s="10"/>
      <c r="P11" s="10"/>
    </row>
    <row r="12" spans="1:16" ht="28.5" customHeight="1" x14ac:dyDescent="0.3">
      <c r="A12" s="61" t="s">
        <v>285</v>
      </c>
      <c r="B12" s="61"/>
      <c r="C12" s="61"/>
      <c r="D12" s="61"/>
      <c r="E12" s="61"/>
      <c r="F12" s="61"/>
      <c r="G12" s="61"/>
      <c r="H12" s="61"/>
      <c r="I12" s="61"/>
      <c r="J12" s="61"/>
      <c r="K12" s="62"/>
      <c r="L12" s="10"/>
      <c r="M12" s="10"/>
      <c r="N12" s="10"/>
      <c r="O12" s="10"/>
      <c r="P12" s="10"/>
    </row>
    <row r="13" spans="1:16" ht="21.75" customHeight="1" x14ac:dyDescent="0.3">
      <c r="A13" s="11" t="s">
        <v>183</v>
      </c>
      <c r="B13" s="4" t="s">
        <v>21</v>
      </c>
      <c r="C13" s="53"/>
      <c r="D13" s="53"/>
      <c r="E13" s="53"/>
      <c r="F13" s="53"/>
      <c r="G13" s="53"/>
      <c r="H13" s="53"/>
      <c r="I13" s="54"/>
      <c r="J13" s="55" t="s">
        <v>37</v>
      </c>
      <c r="K13" s="55"/>
      <c r="L13" s="10"/>
      <c r="M13" s="10"/>
      <c r="N13" s="10"/>
      <c r="O13" s="10"/>
      <c r="P13" s="10"/>
    </row>
    <row r="14" spans="1:16" ht="21.75" customHeight="1" x14ac:dyDescent="0.3">
      <c r="A14" s="11" t="s">
        <v>234</v>
      </c>
      <c r="B14" s="4" t="s">
        <v>235</v>
      </c>
      <c r="C14" s="53"/>
      <c r="D14" s="53"/>
      <c r="E14" s="53"/>
      <c r="F14" s="53"/>
      <c r="G14" s="53"/>
      <c r="H14" s="53"/>
      <c r="I14" s="54"/>
      <c r="J14" s="55" t="s">
        <v>236</v>
      </c>
      <c r="K14" s="55"/>
      <c r="L14" s="10"/>
      <c r="M14" s="10"/>
      <c r="N14" s="10"/>
      <c r="O14" s="10"/>
      <c r="P14" s="10"/>
    </row>
    <row r="15" spans="1:16" ht="21.75" customHeight="1" x14ac:dyDescent="0.3">
      <c r="A15" s="11" t="s">
        <v>193</v>
      </c>
      <c r="B15" s="4" t="s">
        <v>189</v>
      </c>
      <c r="C15" s="53"/>
      <c r="D15" s="53"/>
      <c r="E15" s="53"/>
      <c r="F15" s="53"/>
      <c r="G15" s="53"/>
      <c r="H15" s="53"/>
      <c r="I15" s="54"/>
      <c r="J15" s="55" t="s">
        <v>188</v>
      </c>
      <c r="K15" s="55"/>
      <c r="L15" s="10"/>
      <c r="M15" s="10"/>
      <c r="N15" s="10"/>
      <c r="O15" s="10"/>
      <c r="P15" s="10"/>
    </row>
    <row r="16" spans="1:16" ht="21.75" customHeight="1" x14ac:dyDescent="0.3">
      <c r="A16" s="11" t="s">
        <v>192</v>
      </c>
      <c r="B16" s="4" t="s">
        <v>190</v>
      </c>
      <c r="C16" s="53"/>
      <c r="D16" s="53"/>
      <c r="E16" s="53"/>
      <c r="F16" s="53"/>
      <c r="G16" s="53"/>
      <c r="H16" s="53"/>
      <c r="I16" s="54"/>
      <c r="J16" s="55" t="s">
        <v>191</v>
      </c>
      <c r="K16" s="55"/>
      <c r="L16" s="10"/>
      <c r="M16" s="10"/>
      <c r="N16" s="10"/>
      <c r="O16" s="10"/>
      <c r="P16" s="10"/>
    </row>
    <row r="17" spans="1:16" ht="48.75" customHeight="1" x14ac:dyDescent="0.3">
      <c r="A17" s="11" t="s">
        <v>182</v>
      </c>
      <c r="B17" s="4" t="s">
        <v>217</v>
      </c>
      <c r="C17" s="53"/>
      <c r="D17" s="53"/>
      <c r="E17" s="53"/>
      <c r="F17" s="53"/>
      <c r="G17" s="53"/>
      <c r="H17" s="53"/>
      <c r="I17" s="54"/>
      <c r="J17" s="55" t="s">
        <v>181</v>
      </c>
      <c r="K17" s="55"/>
      <c r="L17" s="10"/>
      <c r="M17" s="10"/>
      <c r="N17" s="10"/>
      <c r="O17" s="10"/>
      <c r="P17" s="10"/>
    </row>
    <row r="18" spans="1:16" ht="48.75" customHeight="1" x14ac:dyDescent="0.3">
      <c r="A18" s="11" t="s">
        <v>194</v>
      </c>
      <c r="B18" s="4" t="s">
        <v>218</v>
      </c>
      <c r="C18" s="53"/>
      <c r="D18" s="53"/>
      <c r="E18" s="53"/>
      <c r="F18" s="53"/>
      <c r="G18" s="53"/>
      <c r="H18" s="53"/>
      <c r="I18" s="54"/>
      <c r="J18" s="55" t="s">
        <v>181</v>
      </c>
      <c r="K18" s="55"/>
      <c r="L18" s="10"/>
      <c r="M18" s="10"/>
      <c r="N18" s="10"/>
      <c r="O18" s="10"/>
      <c r="P18" s="10"/>
    </row>
    <row r="19" spans="1:16" ht="44.25" customHeight="1" x14ac:dyDescent="0.3">
      <c r="A19" s="11" t="s">
        <v>221</v>
      </c>
      <c r="B19" s="4" t="s">
        <v>22</v>
      </c>
      <c r="C19" s="57"/>
      <c r="D19" s="53"/>
      <c r="E19" s="53"/>
      <c r="F19" s="53"/>
      <c r="G19" s="53"/>
      <c r="H19" s="53"/>
      <c r="I19" s="54"/>
      <c r="J19" s="55" t="s">
        <v>39</v>
      </c>
      <c r="K19" s="55"/>
      <c r="L19" s="10"/>
      <c r="M19" s="10"/>
      <c r="N19" s="10"/>
      <c r="O19" s="10"/>
      <c r="P19" s="10"/>
    </row>
    <row r="20" spans="1:16" ht="28.5" customHeight="1" x14ac:dyDescent="0.3">
      <c r="A20" s="11" t="s">
        <v>224</v>
      </c>
      <c r="B20" s="4" t="s">
        <v>25</v>
      </c>
      <c r="C20" s="53"/>
      <c r="D20" s="53"/>
      <c r="E20" s="53"/>
      <c r="F20" s="53"/>
      <c r="G20" s="53"/>
      <c r="H20" s="53"/>
      <c r="I20" s="54"/>
      <c r="J20" s="55" t="s">
        <v>40</v>
      </c>
      <c r="K20" s="55"/>
      <c r="L20" s="10"/>
      <c r="M20" s="10"/>
      <c r="N20" s="10"/>
      <c r="O20" s="10"/>
      <c r="P20" s="10"/>
    </row>
    <row r="21" spans="1:16" ht="78" customHeight="1" x14ac:dyDescent="0.3">
      <c r="A21" s="11" t="s">
        <v>225</v>
      </c>
      <c r="B21" s="4" t="s">
        <v>27</v>
      </c>
      <c r="C21" s="57"/>
      <c r="D21" s="53"/>
      <c r="E21" s="53"/>
      <c r="F21" s="53"/>
      <c r="G21" s="53"/>
      <c r="H21" s="53"/>
      <c r="I21" s="54"/>
      <c r="J21" s="55" t="s">
        <v>41</v>
      </c>
      <c r="K21" s="55"/>
      <c r="L21" s="10"/>
      <c r="M21" s="10"/>
      <c r="N21" s="10"/>
      <c r="O21" s="10"/>
      <c r="P21" s="10"/>
    </row>
    <row r="22" spans="1:16" ht="62.25" customHeight="1" x14ac:dyDescent="0.3">
      <c r="A22" s="11" t="s">
        <v>226</v>
      </c>
      <c r="B22" s="58" t="s">
        <v>28</v>
      </c>
      <c r="C22" s="57"/>
      <c r="D22" s="53"/>
      <c r="E22" s="53"/>
      <c r="F22" s="53"/>
      <c r="G22" s="53"/>
      <c r="H22" s="53"/>
      <c r="I22" s="54"/>
      <c r="J22" s="55" t="s">
        <v>229</v>
      </c>
      <c r="K22" s="55"/>
      <c r="L22" s="10"/>
      <c r="M22" s="10"/>
      <c r="N22" s="10"/>
      <c r="O22" s="10"/>
      <c r="P22" s="10"/>
    </row>
    <row r="23" spans="1:16" ht="62.25" customHeight="1" x14ac:dyDescent="0.3">
      <c r="A23" s="11" t="s">
        <v>227</v>
      </c>
      <c r="B23" s="58"/>
      <c r="C23" s="57"/>
      <c r="D23" s="53"/>
      <c r="E23" s="53"/>
      <c r="F23" s="53"/>
      <c r="G23" s="53"/>
      <c r="H23" s="53"/>
      <c r="I23" s="54"/>
      <c r="J23" s="55" t="s">
        <v>230</v>
      </c>
      <c r="K23" s="55"/>
      <c r="L23" s="10"/>
      <c r="M23" s="10"/>
      <c r="N23" s="10"/>
      <c r="O23" s="10"/>
      <c r="P23" s="10"/>
    </row>
    <row r="24" spans="1:16" ht="62.25" customHeight="1" x14ac:dyDescent="0.3">
      <c r="A24" s="11" t="s">
        <v>228</v>
      </c>
      <c r="B24" s="58"/>
      <c r="C24" s="57"/>
      <c r="D24" s="53"/>
      <c r="E24" s="53"/>
      <c r="F24" s="53"/>
      <c r="G24" s="53"/>
      <c r="H24" s="53"/>
      <c r="I24" s="54"/>
      <c r="J24" s="55" t="s">
        <v>231</v>
      </c>
      <c r="K24" s="55"/>
      <c r="L24" s="10"/>
      <c r="M24" s="10"/>
      <c r="N24" s="10"/>
      <c r="O24" s="10"/>
      <c r="P24" s="10"/>
    </row>
    <row r="25" spans="1:16" ht="83.25" customHeight="1" x14ac:dyDescent="0.3">
      <c r="A25" s="11" t="s">
        <v>232</v>
      </c>
      <c r="B25" s="6" t="s">
        <v>29</v>
      </c>
      <c r="C25" s="57"/>
      <c r="D25" s="53"/>
      <c r="E25" s="53"/>
      <c r="F25" s="53"/>
      <c r="G25" s="53"/>
      <c r="H25" s="53"/>
      <c r="I25" s="54"/>
      <c r="J25" s="55" t="s">
        <v>45</v>
      </c>
      <c r="K25" s="55"/>
      <c r="L25" s="10"/>
      <c r="M25" s="10"/>
      <c r="N25" s="10"/>
      <c r="O25" s="10"/>
      <c r="P25" s="10"/>
    </row>
    <row r="26" spans="1:16" ht="47.25" customHeight="1" x14ac:dyDescent="0.3">
      <c r="A26" s="11" t="s">
        <v>237</v>
      </c>
      <c r="B26" s="6" t="s">
        <v>46</v>
      </c>
      <c r="C26" s="57"/>
      <c r="D26" s="53"/>
      <c r="E26" s="53"/>
      <c r="F26" s="53"/>
      <c r="G26" s="53"/>
      <c r="H26" s="53"/>
      <c r="I26" s="54"/>
      <c r="J26" s="55" t="s">
        <v>47</v>
      </c>
      <c r="K26" s="55"/>
      <c r="L26" s="10"/>
      <c r="M26" s="10"/>
      <c r="N26" s="10"/>
      <c r="O26" s="10"/>
      <c r="P26" s="10"/>
    </row>
    <row r="27" spans="1:16" ht="29.25" customHeight="1" x14ac:dyDescent="0.3">
      <c r="A27" s="11" t="s">
        <v>233</v>
      </c>
      <c r="B27" s="4" t="s">
        <v>26</v>
      </c>
      <c r="C27" s="53"/>
      <c r="D27" s="53"/>
      <c r="E27" s="53"/>
      <c r="F27" s="53"/>
      <c r="G27" s="53"/>
      <c r="H27" s="53"/>
      <c r="I27" s="54"/>
      <c r="J27" s="55" t="s">
        <v>48</v>
      </c>
      <c r="K27" s="55"/>
      <c r="L27" s="10"/>
      <c r="M27" s="10"/>
      <c r="N27" s="10"/>
      <c r="O27" s="10"/>
      <c r="P27" s="10"/>
    </row>
    <row r="28" spans="1:16" ht="218.25" customHeight="1" x14ac:dyDescent="0.3">
      <c r="A28" s="11" t="s">
        <v>233</v>
      </c>
      <c r="B28" s="39" t="s">
        <v>239</v>
      </c>
      <c r="C28" s="53"/>
      <c r="D28" s="53"/>
      <c r="E28" s="53"/>
      <c r="F28" s="53"/>
      <c r="G28" s="53"/>
      <c r="H28" s="53"/>
      <c r="I28" s="54"/>
      <c r="J28" s="55" t="s">
        <v>240</v>
      </c>
      <c r="K28" s="55"/>
      <c r="L28" s="10"/>
      <c r="M28" s="10"/>
      <c r="N28" s="10"/>
      <c r="O28" s="10"/>
      <c r="P28" s="10"/>
    </row>
    <row r="29" spans="1:16" ht="22.5" customHeight="1" x14ac:dyDescent="0.3"/>
    <row r="30" spans="1:16" ht="22.5" customHeight="1" x14ac:dyDescent="0.3"/>
    <row r="31" spans="1:16" ht="22.5" customHeight="1" x14ac:dyDescent="0.3">
      <c r="D31" s="5" t="s">
        <v>10</v>
      </c>
      <c r="E31" s="5" t="s">
        <v>13</v>
      </c>
      <c r="F31" s="5" t="s">
        <v>15</v>
      </c>
      <c r="G31" s="5" t="s">
        <v>11</v>
      </c>
      <c r="H31" s="5" t="s">
        <v>12</v>
      </c>
      <c r="I31" s="5" t="s">
        <v>15</v>
      </c>
    </row>
    <row r="32" spans="1:16" ht="22.5" customHeight="1" x14ac:dyDescent="0.3">
      <c r="C32" s="9" t="str">
        <f>IFERROR(G32,"")</f>
        <v>2001010211_16v3.1</v>
      </c>
      <c r="D32" s="37" t="str">
        <f>VLOOKUP(J32,통합!$A$3:$H$44,6,FALSE)</f>
        <v>1903090101_21v2</v>
      </c>
      <c r="E32" s="37" t="str">
        <f>VLOOKUP(J32,통합!$A$3:$H$44,8,FALSE)</f>
        <v>의료기기 품질문서 개발</v>
      </c>
      <c r="F32" s="8">
        <f>IF(COUNTIF($D$67:$D$116,D32)=0,"",COUNTIF($D$67:$D$116,D32))</f>
        <v>1</v>
      </c>
      <c r="G32" s="13" t="s">
        <v>50</v>
      </c>
      <c r="H32" s="13" t="s">
        <v>51</v>
      </c>
      <c r="I32" s="8">
        <f>IF(COUNTIF($G$67:$G$116,G32)=0,"",COUNTIF($G$67:$G$116,G32))</f>
        <v>1</v>
      </c>
      <c r="J32" s="11" t="s">
        <v>223</v>
      </c>
    </row>
    <row r="33" spans="3:9" ht="22.5" customHeight="1" x14ac:dyDescent="0.3">
      <c r="C33" s="9">
        <f t="shared" ref="C33:C63" si="0">IFERROR(G33,"")</f>
        <v>0</v>
      </c>
      <c r="D33" s="37"/>
      <c r="E33" s="37"/>
      <c r="F33" s="8" t="str">
        <f t="shared" ref="F33:F63" si="1">IF(COUNTIF($D$67:$D$116,D33)=0,"",COUNTIF($D$67:$D$116,D33))</f>
        <v/>
      </c>
      <c r="G33" s="13"/>
      <c r="H33" s="13"/>
      <c r="I33" s="8" t="str">
        <f t="shared" ref="I33:I63" si="2">IF(COUNTIF($G$67:$G$116,G33)=0,"",COUNTIF($G$67:$G$116,G33))</f>
        <v/>
      </c>
    </row>
    <row r="34" spans="3:9" ht="22.5" customHeight="1" x14ac:dyDescent="0.3">
      <c r="C34" s="9">
        <f t="shared" si="0"/>
        <v>0</v>
      </c>
      <c r="D34" s="37"/>
      <c r="E34" s="37"/>
      <c r="F34" s="8" t="str">
        <f t="shared" si="1"/>
        <v/>
      </c>
      <c r="G34" s="14"/>
      <c r="H34" s="13"/>
      <c r="I34" s="8" t="str">
        <f t="shared" si="2"/>
        <v/>
      </c>
    </row>
    <row r="35" spans="3:9" ht="22.5" customHeight="1" x14ac:dyDescent="0.3">
      <c r="C35" s="9">
        <f t="shared" si="0"/>
        <v>0</v>
      </c>
      <c r="D35" s="37"/>
      <c r="E35" s="37"/>
      <c r="F35" s="8" t="str">
        <f t="shared" si="1"/>
        <v/>
      </c>
      <c r="G35" s="13"/>
      <c r="H35" s="13"/>
      <c r="I35" s="8" t="str">
        <f t="shared" si="2"/>
        <v/>
      </c>
    </row>
    <row r="36" spans="3:9" ht="22.5" customHeight="1" x14ac:dyDescent="0.3">
      <c r="C36" s="9">
        <f t="shared" si="0"/>
        <v>0</v>
      </c>
      <c r="D36" s="37"/>
      <c r="E36" s="37"/>
      <c r="F36" s="8" t="str">
        <f t="shared" si="1"/>
        <v/>
      </c>
      <c r="G36" s="13"/>
      <c r="H36" s="13"/>
      <c r="I36" s="8" t="str">
        <f t="shared" si="2"/>
        <v/>
      </c>
    </row>
    <row r="37" spans="3:9" ht="22.5" customHeight="1" x14ac:dyDescent="0.3">
      <c r="C37" s="9">
        <f t="shared" si="0"/>
        <v>0</v>
      </c>
      <c r="D37" s="37"/>
      <c r="E37" s="37"/>
      <c r="F37" s="8" t="str">
        <f t="shared" si="1"/>
        <v/>
      </c>
      <c r="G37" s="13"/>
      <c r="H37" s="13"/>
      <c r="I37" s="8" t="str">
        <f t="shared" si="2"/>
        <v/>
      </c>
    </row>
    <row r="38" spans="3:9" ht="22.5" customHeight="1" x14ac:dyDescent="0.3">
      <c r="C38" s="9">
        <f t="shared" si="0"/>
        <v>0</v>
      </c>
      <c r="D38" s="37"/>
      <c r="E38" s="37"/>
      <c r="F38" s="8" t="str">
        <f t="shared" si="1"/>
        <v/>
      </c>
      <c r="G38" s="13"/>
      <c r="H38" s="13"/>
      <c r="I38" s="8" t="str">
        <f t="shared" si="2"/>
        <v/>
      </c>
    </row>
    <row r="39" spans="3:9" ht="22.5" customHeight="1" x14ac:dyDescent="0.3">
      <c r="C39" s="9">
        <f t="shared" si="0"/>
        <v>0</v>
      </c>
      <c r="D39" s="37"/>
      <c r="E39" s="37"/>
      <c r="F39" s="8" t="str">
        <f t="shared" si="1"/>
        <v/>
      </c>
      <c r="G39" s="13"/>
      <c r="H39" s="13"/>
      <c r="I39" s="8" t="str">
        <f t="shared" si="2"/>
        <v/>
      </c>
    </row>
    <row r="40" spans="3:9" ht="22.5" customHeight="1" x14ac:dyDescent="0.3">
      <c r="C40" s="9">
        <f t="shared" si="0"/>
        <v>0</v>
      </c>
      <c r="D40" s="37"/>
      <c r="E40" s="37"/>
      <c r="F40" s="8" t="str">
        <f t="shared" si="1"/>
        <v/>
      </c>
      <c r="G40" s="13"/>
      <c r="H40" s="13"/>
      <c r="I40" s="8" t="str">
        <f t="shared" si="2"/>
        <v/>
      </c>
    </row>
    <row r="41" spans="3:9" ht="22.5" customHeight="1" x14ac:dyDescent="0.3">
      <c r="C41" s="9">
        <f t="shared" si="0"/>
        <v>0</v>
      </c>
      <c r="D41" s="37"/>
      <c r="E41" s="37"/>
      <c r="F41" s="8" t="str">
        <f t="shared" si="1"/>
        <v/>
      </c>
      <c r="G41" s="13"/>
      <c r="H41" s="13"/>
      <c r="I41" s="8" t="str">
        <f t="shared" si="2"/>
        <v/>
      </c>
    </row>
    <row r="42" spans="3:9" ht="22.5" customHeight="1" x14ac:dyDescent="0.3">
      <c r="C42" s="9">
        <f t="shared" si="0"/>
        <v>0</v>
      </c>
      <c r="D42" s="37"/>
      <c r="E42" s="37"/>
      <c r="F42" s="8" t="str">
        <f t="shared" si="1"/>
        <v/>
      </c>
      <c r="G42" s="13"/>
      <c r="H42" s="13"/>
      <c r="I42" s="8" t="str">
        <f t="shared" si="2"/>
        <v/>
      </c>
    </row>
    <row r="43" spans="3:9" ht="22.5" customHeight="1" x14ac:dyDescent="0.3">
      <c r="C43" s="9">
        <f t="shared" si="0"/>
        <v>0</v>
      </c>
      <c r="D43" s="37"/>
      <c r="E43" s="37"/>
      <c r="F43" s="8" t="str">
        <f t="shared" si="1"/>
        <v/>
      </c>
      <c r="G43" s="13"/>
      <c r="H43" s="13"/>
      <c r="I43" s="8" t="str">
        <f t="shared" si="2"/>
        <v/>
      </c>
    </row>
    <row r="44" spans="3:9" ht="22.5" customHeight="1" x14ac:dyDescent="0.3">
      <c r="C44" s="9">
        <f t="shared" si="0"/>
        <v>0</v>
      </c>
      <c r="D44" s="37"/>
      <c r="E44" s="37"/>
      <c r="F44" s="8" t="str">
        <f t="shared" si="1"/>
        <v/>
      </c>
      <c r="G44" s="13"/>
      <c r="H44" s="13"/>
      <c r="I44" s="8" t="str">
        <f t="shared" si="2"/>
        <v/>
      </c>
    </row>
    <row r="45" spans="3:9" ht="22.5" customHeight="1" x14ac:dyDescent="0.3">
      <c r="C45" s="9">
        <f t="shared" si="0"/>
        <v>0</v>
      </c>
      <c r="D45" s="37"/>
      <c r="E45" s="37"/>
      <c r="F45" s="8" t="str">
        <f t="shared" si="1"/>
        <v/>
      </c>
      <c r="G45" s="13"/>
      <c r="H45" s="13"/>
      <c r="I45" s="8" t="str">
        <f t="shared" si="2"/>
        <v/>
      </c>
    </row>
    <row r="46" spans="3:9" ht="22.5" customHeight="1" x14ac:dyDescent="0.3">
      <c r="C46" s="9">
        <f t="shared" si="0"/>
        <v>0</v>
      </c>
      <c r="D46" s="37"/>
      <c r="E46" s="37"/>
      <c r="F46" s="8" t="str">
        <f t="shared" si="1"/>
        <v/>
      </c>
      <c r="G46" s="13"/>
      <c r="H46" s="13"/>
      <c r="I46" s="8" t="str">
        <f t="shared" si="2"/>
        <v/>
      </c>
    </row>
    <row r="47" spans="3:9" ht="22.5" customHeight="1" x14ac:dyDescent="0.3">
      <c r="C47" s="9">
        <f t="shared" si="0"/>
        <v>0</v>
      </c>
      <c r="D47" s="37"/>
      <c r="E47" s="37"/>
      <c r="F47" s="8" t="str">
        <f t="shared" si="1"/>
        <v/>
      </c>
      <c r="G47" s="13"/>
      <c r="H47" s="13"/>
      <c r="I47" s="8" t="str">
        <f t="shared" si="2"/>
        <v/>
      </c>
    </row>
    <row r="48" spans="3:9" ht="22.5" customHeight="1" x14ac:dyDescent="0.3">
      <c r="C48" s="9">
        <f t="shared" si="0"/>
        <v>0</v>
      </c>
      <c r="D48" s="37"/>
      <c r="E48" s="37"/>
      <c r="F48" s="8" t="str">
        <f t="shared" si="1"/>
        <v/>
      </c>
      <c r="G48" s="13"/>
      <c r="H48" s="13"/>
      <c r="I48" s="8" t="str">
        <f t="shared" si="2"/>
        <v/>
      </c>
    </row>
    <row r="49" spans="3:9" ht="22.5" customHeight="1" x14ac:dyDescent="0.3">
      <c r="C49" s="9">
        <f t="shared" si="0"/>
        <v>0</v>
      </c>
      <c r="D49" s="37"/>
      <c r="E49" s="37"/>
      <c r="F49" s="8" t="str">
        <f t="shared" si="1"/>
        <v/>
      </c>
      <c r="G49" s="13"/>
      <c r="H49" s="13"/>
      <c r="I49" s="8" t="str">
        <f t="shared" si="2"/>
        <v/>
      </c>
    </row>
    <row r="50" spans="3:9" ht="22.5" customHeight="1" x14ac:dyDescent="0.3">
      <c r="C50" s="9">
        <f t="shared" si="0"/>
        <v>0</v>
      </c>
      <c r="D50" s="37"/>
      <c r="E50" s="37"/>
      <c r="F50" s="8" t="str">
        <f t="shared" si="1"/>
        <v/>
      </c>
      <c r="G50" s="13"/>
      <c r="H50" s="13"/>
      <c r="I50" s="8" t="str">
        <f t="shared" si="2"/>
        <v/>
      </c>
    </row>
    <row r="51" spans="3:9" ht="22.5" customHeight="1" x14ac:dyDescent="0.3">
      <c r="C51" s="9">
        <f t="shared" si="0"/>
        <v>0</v>
      </c>
      <c r="D51" s="37"/>
      <c r="E51" s="37"/>
      <c r="F51" s="8" t="str">
        <f t="shared" si="1"/>
        <v/>
      </c>
      <c r="G51" s="13"/>
      <c r="H51" s="13"/>
      <c r="I51" s="8" t="str">
        <f t="shared" si="2"/>
        <v/>
      </c>
    </row>
    <row r="52" spans="3:9" ht="22.5" customHeight="1" x14ac:dyDescent="0.3">
      <c r="C52" s="9">
        <f t="shared" si="0"/>
        <v>0</v>
      </c>
      <c r="D52" s="37"/>
      <c r="E52" s="37"/>
      <c r="F52" s="8" t="str">
        <f t="shared" si="1"/>
        <v/>
      </c>
      <c r="G52" s="13"/>
      <c r="H52" s="13"/>
      <c r="I52" s="8" t="str">
        <f>IF(COUNTIF($G$67:$G$116,#REF!)=0,"",COUNTIF($G$67:$G$116,#REF!))</f>
        <v/>
      </c>
    </row>
    <row r="53" spans="3:9" ht="22.5" customHeight="1" x14ac:dyDescent="0.3">
      <c r="C53" s="9">
        <f t="shared" si="0"/>
        <v>0</v>
      </c>
      <c r="D53" s="37"/>
      <c r="E53" s="37"/>
      <c r="F53" s="8" t="str">
        <f t="shared" si="1"/>
        <v/>
      </c>
      <c r="H53" s="13"/>
      <c r="I53" s="8" t="str">
        <f>IF(COUNTIF($G$67:$G$116,G52)=0,"",COUNTIF($G$67:$G$116,G52))</f>
        <v/>
      </c>
    </row>
    <row r="54" spans="3:9" ht="22.5" customHeight="1" x14ac:dyDescent="0.3">
      <c r="C54" s="9">
        <f t="shared" si="0"/>
        <v>0</v>
      </c>
      <c r="D54" s="37"/>
      <c r="E54" s="37"/>
      <c r="F54" s="8" t="str">
        <f t="shared" si="1"/>
        <v/>
      </c>
      <c r="G54" s="13"/>
      <c r="H54" s="13"/>
      <c r="I54" s="8" t="str">
        <f t="shared" si="2"/>
        <v/>
      </c>
    </row>
    <row r="55" spans="3:9" ht="22.5" customHeight="1" x14ac:dyDescent="0.3">
      <c r="C55" s="9">
        <f t="shared" si="0"/>
        <v>0</v>
      </c>
      <c r="D55" s="37"/>
      <c r="E55" s="37"/>
      <c r="F55" s="8" t="str">
        <f t="shared" si="1"/>
        <v/>
      </c>
      <c r="G55" s="13"/>
      <c r="H55" s="13"/>
      <c r="I55" s="8" t="str">
        <f t="shared" si="2"/>
        <v/>
      </c>
    </row>
    <row r="56" spans="3:9" ht="22.5" customHeight="1" x14ac:dyDescent="0.3">
      <c r="C56" s="9">
        <f t="shared" si="0"/>
        <v>0</v>
      </c>
      <c r="D56" s="37"/>
      <c r="E56" s="37"/>
      <c r="F56" s="8" t="str">
        <f t="shared" si="1"/>
        <v/>
      </c>
      <c r="G56" s="13"/>
      <c r="H56" s="13"/>
      <c r="I56" s="8" t="str">
        <f t="shared" si="2"/>
        <v/>
      </c>
    </row>
    <row r="57" spans="3:9" ht="22.5" customHeight="1" x14ac:dyDescent="0.3">
      <c r="C57" s="9">
        <f t="shared" si="0"/>
        <v>0</v>
      </c>
      <c r="D57" s="37"/>
      <c r="E57" s="37"/>
      <c r="F57" s="8" t="str">
        <f t="shared" si="1"/>
        <v/>
      </c>
      <c r="G57" s="13"/>
      <c r="H57" s="13"/>
      <c r="I57" s="8" t="str">
        <f t="shared" si="2"/>
        <v/>
      </c>
    </row>
    <row r="58" spans="3:9" ht="22.5" customHeight="1" x14ac:dyDescent="0.3">
      <c r="C58" s="9">
        <f t="shared" si="0"/>
        <v>0</v>
      </c>
      <c r="D58" s="37"/>
      <c r="E58" s="37"/>
      <c r="F58" s="8" t="str">
        <f t="shared" si="1"/>
        <v/>
      </c>
      <c r="G58" s="13"/>
      <c r="H58" s="13"/>
      <c r="I58" s="8" t="str">
        <f t="shared" si="2"/>
        <v/>
      </c>
    </row>
    <row r="59" spans="3:9" ht="22.5" customHeight="1" x14ac:dyDescent="0.3">
      <c r="C59" s="9">
        <f t="shared" si="0"/>
        <v>0</v>
      </c>
      <c r="D59" s="37"/>
      <c r="E59" s="37"/>
      <c r="F59" s="8" t="str">
        <f t="shared" si="1"/>
        <v/>
      </c>
      <c r="G59" s="13"/>
      <c r="H59" s="13"/>
      <c r="I59" s="8" t="str">
        <f t="shared" si="2"/>
        <v/>
      </c>
    </row>
    <row r="60" spans="3:9" ht="22.5" customHeight="1" x14ac:dyDescent="0.3">
      <c r="C60" s="9">
        <f t="shared" si="0"/>
        <v>0</v>
      </c>
      <c r="D60" s="37"/>
      <c r="E60" s="37"/>
      <c r="F60" s="8" t="str">
        <f t="shared" si="1"/>
        <v/>
      </c>
      <c r="G60" s="13"/>
      <c r="H60" s="13"/>
      <c r="I60" s="8" t="str">
        <f t="shared" si="2"/>
        <v/>
      </c>
    </row>
    <row r="61" spans="3:9" ht="22.5" customHeight="1" x14ac:dyDescent="0.3">
      <c r="C61" s="9">
        <f t="shared" si="0"/>
        <v>0</v>
      </c>
      <c r="D61" s="37"/>
      <c r="E61" s="37"/>
      <c r="F61" s="8" t="str">
        <f t="shared" si="1"/>
        <v/>
      </c>
      <c r="G61" s="13"/>
      <c r="H61" s="13"/>
      <c r="I61" s="8" t="str">
        <f t="shared" si="2"/>
        <v/>
      </c>
    </row>
    <row r="62" spans="3:9" ht="22.5" customHeight="1" x14ac:dyDescent="0.3">
      <c r="C62" s="9">
        <f t="shared" si="0"/>
        <v>0</v>
      </c>
      <c r="D62" s="37"/>
      <c r="E62" s="37"/>
      <c r="F62" s="8" t="str">
        <f t="shared" si="1"/>
        <v/>
      </c>
      <c r="G62" s="13"/>
      <c r="H62" s="13"/>
      <c r="I62" s="8" t="str">
        <f t="shared" si="2"/>
        <v/>
      </c>
    </row>
    <row r="63" spans="3:9" ht="22.5" customHeight="1" x14ac:dyDescent="0.3">
      <c r="C63" s="9">
        <f t="shared" si="0"/>
        <v>0</v>
      </c>
      <c r="D63" s="38"/>
      <c r="E63" s="38"/>
      <c r="F63" s="34" t="str">
        <f t="shared" si="1"/>
        <v/>
      </c>
      <c r="G63" s="33"/>
      <c r="H63" s="33"/>
      <c r="I63" s="34" t="str">
        <f t="shared" si="2"/>
        <v/>
      </c>
    </row>
    <row r="64" spans="3:9" ht="22.5" customHeight="1" x14ac:dyDescent="0.3">
      <c r="C64" s="8" t="s">
        <v>184</v>
      </c>
      <c r="D64" s="13"/>
      <c r="E64" s="13"/>
      <c r="F64" s="35">
        <f>SUM(F32:F63)</f>
        <v>1</v>
      </c>
      <c r="G64" s="13"/>
      <c r="H64" s="13"/>
      <c r="I64" s="35">
        <f>SUM(I32:I63)</f>
        <v>1</v>
      </c>
    </row>
    <row r="65" spans="2:11" ht="22.5" customHeight="1" x14ac:dyDescent="0.3">
      <c r="C65" s="8"/>
      <c r="D65" s="13"/>
      <c r="E65" s="13"/>
      <c r="F65" s="8"/>
      <c r="G65" s="13"/>
      <c r="H65" s="13"/>
      <c r="I65" s="8"/>
    </row>
    <row r="66" spans="2:11" ht="22.5" customHeight="1" x14ac:dyDescent="0.3"/>
    <row r="67" spans="2:11" ht="22.5" customHeight="1" x14ac:dyDescent="0.3">
      <c r="B67" s="41" t="s">
        <v>9</v>
      </c>
      <c r="C67" s="5" t="s">
        <v>8</v>
      </c>
      <c r="D67" s="5" t="s">
        <v>10</v>
      </c>
      <c r="E67" s="44" t="s">
        <v>13</v>
      </c>
      <c r="F67" s="45"/>
      <c r="G67" s="12" t="s">
        <v>11</v>
      </c>
      <c r="H67" s="44" t="s">
        <v>12</v>
      </c>
      <c r="I67" s="45"/>
      <c r="J67" s="12" t="s">
        <v>14</v>
      </c>
      <c r="K67" s="12" t="s">
        <v>31</v>
      </c>
    </row>
    <row r="68" spans="2:11" ht="22.5" customHeight="1" x14ac:dyDescent="0.3">
      <c r="B68" s="42"/>
      <c r="C68" s="1" t="s">
        <v>0</v>
      </c>
      <c r="D68" s="8" t="str">
        <f>IF(VLOOKUP(G68,$C$32:$E$63,2,FALSE)="","",VLOOKUP(G68,$C$32:$E$63,2,FALSE))</f>
        <v>1903090101_21v2</v>
      </c>
      <c r="E68" s="46" t="str">
        <f>IF(VLOOKUP(G68,$C$32:$E$63,3,FALSE)="","",VLOOKUP(G68,$C$32:$E$63,3,FALSE))</f>
        <v>의료기기 품질문서 개발</v>
      </c>
      <c r="F68" s="47"/>
      <c r="G68" s="13" t="s">
        <v>50</v>
      </c>
      <c r="H68" s="46" t="str">
        <f>IFERROR(VLOOKUP(G68,$G$32:$H$63,2,FALSE),"")</f>
        <v>하드웨어 분석하기</v>
      </c>
      <c r="I68" s="47"/>
      <c r="J68" s="15" t="s">
        <v>49</v>
      </c>
      <c r="K68" s="56"/>
    </row>
    <row r="69" spans="2:11" ht="22.5" customHeight="1" x14ac:dyDescent="0.3">
      <c r="B69" s="42"/>
      <c r="C69" s="1" t="s">
        <v>1</v>
      </c>
      <c r="D69" s="8" t="str">
        <f t="shared" ref="D69:D70" si="3">IF(VLOOKUP(G69,$C$32:$E$63,2,FALSE)="","",VLOOKUP(G69,$C$32:$E$63,2,FALSE))</f>
        <v/>
      </c>
      <c r="E69" s="46" t="str">
        <f t="shared" ref="E69:E70" si="4">IF(VLOOKUP(G69,$C$32:$E$63,3,FALSE)="","",VLOOKUP(G69,$C$32:$E$63,3,FALSE))</f>
        <v/>
      </c>
      <c r="F69" s="47"/>
      <c r="G69" s="13"/>
      <c r="H69" s="46" t="str">
        <f t="shared" ref="H69:H76" si="5">IFERROR(VLOOKUP(G69,$G$32:$H$63,2,FALSE),"")</f>
        <v/>
      </c>
      <c r="I69" s="47"/>
      <c r="J69" s="15"/>
      <c r="K69" s="49"/>
    </row>
    <row r="70" spans="2:11" ht="22.5" customHeight="1" x14ac:dyDescent="0.3">
      <c r="B70" s="42"/>
      <c r="C70" s="1" t="s">
        <v>2</v>
      </c>
      <c r="D70" s="8" t="str">
        <f t="shared" si="3"/>
        <v/>
      </c>
      <c r="E70" s="46" t="str">
        <f t="shared" si="4"/>
        <v/>
      </c>
      <c r="F70" s="47"/>
      <c r="G70" s="13"/>
      <c r="H70" s="46" t="str">
        <f t="shared" si="5"/>
        <v/>
      </c>
      <c r="I70" s="47"/>
      <c r="J70" s="15"/>
      <c r="K70" s="49"/>
    </row>
    <row r="71" spans="2:11" ht="22.5" customHeight="1" x14ac:dyDescent="0.3">
      <c r="B71" s="42"/>
      <c r="C71" s="2" t="s">
        <v>18</v>
      </c>
      <c r="D71" s="7"/>
      <c r="E71" s="51"/>
      <c r="F71" s="52"/>
      <c r="G71" s="17"/>
      <c r="H71" s="51"/>
      <c r="I71" s="52"/>
      <c r="J71" s="16"/>
      <c r="K71" s="49"/>
    </row>
    <row r="72" spans="2:11" ht="22.5" customHeight="1" x14ac:dyDescent="0.3">
      <c r="B72" s="42"/>
      <c r="C72" s="1" t="s">
        <v>3</v>
      </c>
      <c r="D72" s="8" t="str">
        <f>IF(VLOOKUP(G72,$C$32:$E$63,2,FALSE)="","",VLOOKUP(G72,$C$32:$E$63,2,FALSE))</f>
        <v/>
      </c>
      <c r="E72" s="46" t="str">
        <f>IF(VLOOKUP(G72,$C$32:$E$63,3,FALSE)="","",VLOOKUP(G72,$C$32:$E$63,3,FALSE))</f>
        <v/>
      </c>
      <c r="F72" s="47"/>
      <c r="G72" s="13"/>
      <c r="H72" s="46" t="str">
        <f t="shared" si="5"/>
        <v/>
      </c>
      <c r="I72" s="47"/>
      <c r="J72" s="15"/>
      <c r="K72" s="49"/>
    </row>
    <row r="73" spans="2:11" ht="22.5" customHeight="1" x14ac:dyDescent="0.3">
      <c r="B73" s="42"/>
      <c r="C73" s="1" t="s">
        <v>4</v>
      </c>
      <c r="D73" s="8" t="str">
        <f t="shared" ref="D73:D76" si="6">IF(VLOOKUP(G73,$C$32:$E$63,2,FALSE)="","",VLOOKUP(G73,$C$32:$E$63,2,FALSE))</f>
        <v/>
      </c>
      <c r="E73" s="46" t="str">
        <f t="shared" ref="E73:E76" si="7">IF(VLOOKUP(G73,$C$32:$E$63,3,FALSE)="","",VLOOKUP(G73,$C$32:$E$63,3,FALSE))</f>
        <v/>
      </c>
      <c r="F73" s="47"/>
      <c r="G73" s="13"/>
      <c r="H73" s="46" t="str">
        <f t="shared" si="5"/>
        <v/>
      </c>
      <c r="I73" s="47"/>
      <c r="J73" s="15"/>
      <c r="K73" s="49"/>
    </row>
    <row r="74" spans="2:11" ht="22.5" customHeight="1" x14ac:dyDescent="0.3">
      <c r="B74" s="42"/>
      <c r="C74" s="1" t="s">
        <v>5</v>
      </c>
      <c r="D74" s="8" t="str">
        <f t="shared" si="6"/>
        <v/>
      </c>
      <c r="E74" s="46" t="str">
        <f t="shared" si="7"/>
        <v/>
      </c>
      <c r="F74" s="47"/>
      <c r="G74" s="13"/>
      <c r="H74" s="46" t="str">
        <f t="shared" si="5"/>
        <v/>
      </c>
      <c r="I74" s="47"/>
      <c r="J74" s="15"/>
      <c r="K74" s="49"/>
    </row>
    <row r="75" spans="2:11" ht="22.5" customHeight="1" x14ac:dyDescent="0.3">
      <c r="B75" s="42"/>
      <c r="C75" s="1" t="s">
        <v>6</v>
      </c>
      <c r="D75" s="8" t="str">
        <f t="shared" si="6"/>
        <v/>
      </c>
      <c r="E75" s="46" t="str">
        <f t="shared" si="7"/>
        <v/>
      </c>
      <c r="F75" s="47"/>
      <c r="G75" s="13"/>
      <c r="H75" s="46" t="str">
        <f t="shared" si="5"/>
        <v/>
      </c>
      <c r="I75" s="47"/>
      <c r="J75" s="15"/>
      <c r="K75" s="49"/>
    </row>
    <row r="76" spans="2:11" ht="22.5" customHeight="1" x14ac:dyDescent="0.3">
      <c r="B76" s="43"/>
      <c r="C76" s="1" t="s">
        <v>7</v>
      </c>
      <c r="D76" s="8" t="str">
        <f t="shared" si="6"/>
        <v/>
      </c>
      <c r="E76" s="46" t="str">
        <f t="shared" si="7"/>
        <v/>
      </c>
      <c r="F76" s="47"/>
      <c r="G76" s="13"/>
      <c r="H76" s="46" t="str">
        <f t="shared" si="5"/>
        <v/>
      </c>
      <c r="I76" s="47"/>
      <c r="J76" s="15"/>
      <c r="K76" s="50"/>
    </row>
    <row r="77" spans="2:11" ht="22.5" customHeight="1" x14ac:dyDescent="0.3">
      <c r="B77" s="41" t="s">
        <v>16</v>
      </c>
      <c r="C77" s="5" t="s">
        <v>8</v>
      </c>
      <c r="D77" s="5" t="s">
        <v>10</v>
      </c>
      <c r="E77" s="44" t="s">
        <v>13</v>
      </c>
      <c r="F77" s="45"/>
      <c r="G77" s="12" t="s">
        <v>11</v>
      </c>
      <c r="H77" s="44" t="s">
        <v>12</v>
      </c>
      <c r="I77" s="45"/>
      <c r="J77" s="12" t="s">
        <v>14</v>
      </c>
      <c r="K77" s="12" t="s">
        <v>32</v>
      </c>
    </row>
    <row r="78" spans="2:11" ht="22.5" customHeight="1" x14ac:dyDescent="0.3">
      <c r="B78" s="42"/>
      <c r="C78" s="1" t="s">
        <v>0</v>
      </c>
      <c r="D78" s="8" t="str">
        <f>IF(VLOOKUP(G78,$C$32:$E$63,2,FALSE)="","",VLOOKUP(G78,$C$32:$E$63,2,FALSE))</f>
        <v/>
      </c>
      <c r="E78" s="46" t="str">
        <f>IF(VLOOKUP(G78,$C$32:$E$63,3,FALSE)="","",VLOOKUP(G78,$C$32:$E$63,3,FALSE))</f>
        <v/>
      </c>
      <c r="F78" s="47"/>
      <c r="G78" s="13"/>
      <c r="H78" s="46" t="str">
        <f>IFERROR(VLOOKUP(G78,$G$32:$H$63,2,FALSE),"")</f>
        <v/>
      </c>
      <c r="I78" s="47"/>
      <c r="J78" s="15"/>
      <c r="K78" s="48"/>
    </row>
    <row r="79" spans="2:11" ht="22.5" customHeight="1" x14ac:dyDescent="0.3">
      <c r="B79" s="42"/>
      <c r="C79" s="1" t="s">
        <v>1</v>
      </c>
      <c r="D79" s="8" t="str">
        <f t="shared" ref="D79:D80" si="8">IF(VLOOKUP(G79,$C$32:$E$63,2,FALSE)="","",VLOOKUP(G79,$C$32:$E$63,2,FALSE))</f>
        <v/>
      </c>
      <c r="E79" s="46" t="str">
        <f t="shared" ref="E79:E80" si="9">IF(VLOOKUP(G79,$C$32:$E$63,3,FALSE)="","",VLOOKUP(G79,$C$32:$E$63,3,FALSE))</f>
        <v/>
      </c>
      <c r="F79" s="47"/>
      <c r="G79" s="13"/>
      <c r="H79" s="46" t="str">
        <f t="shared" ref="H79:H86" si="10">IFERROR(VLOOKUP(G79,$G$32:$H$63,2,FALSE),"")</f>
        <v/>
      </c>
      <c r="I79" s="47"/>
      <c r="J79" s="15"/>
      <c r="K79" s="49"/>
    </row>
    <row r="80" spans="2:11" ht="22.5" customHeight="1" x14ac:dyDescent="0.3">
      <c r="B80" s="42"/>
      <c r="C80" s="1" t="s">
        <v>2</v>
      </c>
      <c r="D80" s="8" t="str">
        <f t="shared" si="8"/>
        <v/>
      </c>
      <c r="E80" s="46" t="str">
        <f t="shared" si="9"/>
        <v/>
      </c>
      <c r="F80" s="47"/>
      <c r="G80" s="13"/>
      <c r="H80" s="46" t="str">
        <f t="shared" si="10"/>
        <v/>
      </c>
      <c r="I80" s="47"/>
      <c r="J80" s="15"/>
      <c r="K80" s="49"/>
    </row>
    <row r="81" spans="2:11" ht="22.5" customHeight="1" x14ac:dyDescent="0.3">
      <c r="B81" s="42"/>
      <c r="C81" s="2" t="s">
        <v>18</v>
      </c>
      <c r="D81" s="7"/>
      <c r="E81" s="51"/>
      <c r="F81" s="52"/>
      <c r="G81" s="17"/>
      <c r="H81" s="51"/>
      <c r="I81" s="52"/>
      <c r="J81" s="16"/>
      <c r="K81" s="49"/>
    </row>
    <row r="82" spans="2:11" ht="22.5" customHeight="1" x14ac:dyDescent="0.3">
      <c r="B82" s="42"/>
      <c r="C82" s="1" t="s">
        <v>3</v>
      </c>
      <c r="D82" s="8" t="str">
        <f>IF(VLOOKUP(G82,$C$32:$E$63,2,FALSE)="","",VLOOKUP(G82,$C$32:$E$63,2,FALSE))</f>
        <v/>
      </c>
      <c r="E82" s="46" t="str">
        <f>IF(VLOOKUP(G82,$C$32:$E$63,3,FALSE)="","",VLOOKUP(G82,$C$32:$E$63,3,FALSE))</f>
        <v/>
      </c>
      <c r="F82" s="47"/>
      <c r="G82" s="13"/>
      <c r="H82" s="46" t="str">
        <f t="shared" si="10"/>
        <v/>
      </c>
      <c r="I82" s="47"/>
      <c r="J82" s="15"/>
      <c r="K82" s="49"/>
    </row>
    <row r="83" spans="2:11" ht="22.5" customHeight="1" x14ac:dyDescent="0.3">
      <c r="B83" s="42"/>
      <c r="C83" s="1" t="s">
        <v>4</v>
      </c>
      <c r="D83" s="8" t="str">
        <f t="shared" ref="D83:D86" si="11">IF(VLOOKUP(G83,$C$32:$E$63,2,FALSE)="","",VLOOKUP(G83,$C$32:$E$63,2,FALSE))</f>
        <v/>
      </c>
      <c r="E83" s="46" t="str">
        <f t="shared" ref="E83:E86" si="12">IF(VLOOKUP(G83,$C$32:$E$63,3,FALSE)="","",VLOOKUP(G83,$C$32:$E$63,3,FALSE))</f>
        <v/>
      </c>
      <c r="F83" s="47"/>
      <c r="G83" s="13"/>
      <c r="H83" s="46" t="str">
        <f t="shared" si="10"/>
        <v/>
      </c>
      <c r="I83" s="47"/>
      <c r="J83" s="15"/>
      <c r="K83" s="49"/>
    </row>
    <row r="84" spans="2:11" ht="22.5" customHeight="1" x14ac:dyDescent="0.3">
      <c r="B84" s="42"/>
      <c r="C84" s="1" t="s">
        <v>5</v>
      </c>
      <c r="D84" s="8" t="str">
        <f t="shared" si="11"/>
        <v/>
      </c>
      <c r="E84" s="46" t="str">
        <f t="shared" si="12"/>
        <v/>
      </c>
      <c r="F84" s="47"/>
      <c r="G84" s="13"/>
      <c r="H84" s="46" t="str">
        <f t="shared" si="10"/>
        <v/>
      </c>
      <c r="I84" s="47"/>
      <c r="J84" s="15"/>
      <c r="K84" s="49"/>
    </row>
    <row r="85" spans="2:11" ht="22.5" customHeight="1" x14ac:dyDescent="0.3">
      <c r="B85" s="42"/>
      <c r="C85" s="1" t="s">
        <v>6</v>
      </c>
      <c r="D85" s="8" t="str">
        <f t="shared" si="11"/>
        <v/>
      </c>
      <c r="E85" s="46" t="str">
        <f t="shared" si="12"/>
        <v/>
      </c>
      <c r="F85" s="47"/>
      <c r="G85" s="13"/>
      <c r="H85" s="46" t="str">
        <f t="shared" si="10"/>
        <v/>
      </c>
      <c r="I85" s="47"/>
      <c r="J85" s="15"/>
      <c r="K85" s="49"/>
    </row>
    <row r="86" spans="2:11" ht="22.5" customHeight="1" x14ac:dyDescent="0.3">
      <c r="B86" s="43"/>
      <c r="C86" s="1" t="s">
        <v>7</v>
      </c>
      <c r="D86" s="8" t="str">
        <f t="shared" si="11"/>
        <v/>
      </c>
      <c r="E86" s="46" t="str">
        <f t="shared" si="12"/>
        <v/>
      </c>
      <c r="F86" s="47"/>
      <c r="G86" s="13"/>
      <c r="H86" s="46" t="str">
        <f t="shared" si="10"/>
        <v/>
      </c>
      <c r="I86" s="47"/>
      <c r="J86" s="15"/>
      <c r="K86" s="50"/>
    </row>
    <row r="87" spans="2:11" ht="22.5" customHeight="1" x14ac:dyDescent="0.3">
      <c r="B87" s="41" t="s">
        <v>17</v>
      </c>
      <c r="C87" s="5" t="s">
        <v>8</v>
      </c>
      <c r="D87" s="5" t="s">
        <v>10</v>
      </c>
      <c r="E87" s="44" t="s">
        <v>13</v>
      </c>
      <c r="F87" s="45"/>
      <c r="G87" s="12" t="s">
        <v>11</v>
      </c>
      <c r="H87" s="44" t="s">
        <v>12</v>
      </c>
      <c r="I87" s="45"/>
      <c r="J87" s="12" t="s">
        <v>14</v>
      </c>
      <c r="K87" s="12" t="s">
        <v>33</v>
      </c>
    </row>
    <row r="88" spans="2:11" ht="22.5" customHeight="1" x14ac:dyDescent="0.3">
      <c r="B88" s="42"/>
      <c r="C88" s="1" t="s">
        <v>0</v>
      </c>
      <c r="D88" s="8" t="str">
        <f>IF(VLOOKUP(G88,$C$32:$E$63,2,FALSE)="","",VLOOKUP(G88,$C$32:$E$63,2,FALSE))</f>
        <v/>
      </c>
      <c r="E88" s="46" t="str">
        <f>IF(VLOOKUP(G88,$C$32:$E$63,3,FALSE)="","",VLOOKUP(G88,$C$32:$E$63,3,FALSE))</f>
        <v/>
      </c>
      <c r="F88" s="47"/>
      <c r="G88" s="13"/>
      <c r="H88" s="46" t="str">
        <f>IFERROR(VLOOKUP(G88,$G$32:$H$63,2,FALSE),"")</f>
        <v/>
      </c>
      <c r="I88" s="47"/>
      <c r="J88" s="15"/>
      <c r="K88" s="48"/>
    </row>
    <row r="89" spans="2:11" ht="22.5" customHeight="1" x14ac:dyDescent="0.3">
      <c r="B89" s="42"/>
      <c r="C89" s="1" t="s">
        <v>1</v>
      </c>
      <c r="D89" s="8" t="str">
        <f t="shared" ref="D89:D90" si="13">IF(VLOOKUP(G89,$C$32:$E$63,2,FALSE)="","",VLOOKUP(G89,$C$32:$E$63,2,FALSE))</f>
        <v/>
      </c>
      <c r="E89" s="46" t="str">
        <f t="shared" ref="E89:E90" si="14">IF(VLOOKUP(G89,$C$32:$E$63,3,FALSE)="","",VLOOKUP(G89,$C$32:$E$63,3,FALSE))</f>
        <v/>
      </c>
      <c r="F89" s="47"/>
      <c r="G89" s="13"/>
      <c r="H89" s="46" t="str">
        <f t="shared" ref="H89:H96" si="15">IFERROR(VLOOKUP(G89,$G$32:$H$63,2,FALSE),"")</f>
        <v/>
      </c>
      <c r="I89" s="47"/>
      <c r="J89" s="15"/>
      <c r="K89" s="49"/>
    </row>
    <row r="90" spans="2:11" ht="22.5" customHeight="1" x14ac:dyDescent="0.3">
      <c r="B90" s="42"/>
      <c r="C90" s="1" t="s">
        <v>2</v>
      </c>
      <c r="D90" s="8" t="str">
        <f t="shared" si="13"/>
        <v/>
      </c>
      <c r="E90" s="46" t="str">
        <f t="shared" si="14"/>
        <v/>
      </c>
      <c r="F90" s="47"/>
      <c r="G90" s="13"/>
      <c r="H90" s="46" t="str">
        <f t="shared" si="15"/>
        <v/>
      </c>
      <c r="I90" s="47"/>
      <c r="J90" s="15"/>
      <c r="K90" s="49"/>
    </row>
    <row r="91" spans="2:11" ht="22.5" customHeight="1" x14ac:dyDescent="0.3">
      <c r="B91" s="42"/>
      <c r="C91" s="2" t="s">
        <v>18</v>
      </c>
      <c r="D91" s="7"/>
      <c r="E91" s="51"/>
      <c r="F91" s="52"/>
      <c r="G91" s="17"/>
      <c r="H91" s="51"/>
      <c r="I91" s="52"/>
      <c r="J91" s="16"/>
      <c r="K91" s="49"/>
    </row>
    <row r="92" spans="2:11" ht="22.5" customHeight="1" x14ac:dyDescent="0.3">
      <c r="B92" s="42"/>
      <c r="C92" s="1" t="s">
        <v>3</v>
      </c>
      <c r="D92" s="8" t="str">
        <f>IF(VLOOKUP(G92,$C$32:$E$63,2,FALSE)="","",VLOOKUP(G92,$C$32:$E$63,2,FALSE))</f>
        <v/>
      </c>
      <c r="E92" s="46" t="str">
        <f>IF(VLOOKUP(G92,$C$32:$E$63,3,FALSE)="","",VLOOKUP(G92,$C$32:$E$63,3,FALSE))</f>
        <v/>
      </c>
      <c r="F92" s="47"/>
      <c r="G92" s="13"/>
      <c r="H92" s="46" t="str">
        <f t="shared" si="15"/>
        <v/>
      </c>
      <c r="I92" s="47"/>
      <c r="J92" s="15"/>
      <c r="K92" s="49"/>
    </row>
    <row r="93" spans="2:11" ht="22.5" customHeight="1" x14ac:dyDescent="0.3">
      <c r="B93" s="42"/>
      <c r="C93" s="1" t="s">
        <v>4</v>
      </c>
      <c r="D93" s="8" t="str">
        <f t="shared" ref="D93:D96" si="16">IF(VLOOKUP(G93,$C$32:$E$63,2,FALSE)="","",VLOOKUP(G93,$C$32:$E$63,2,FALSE))</f>
        <v/>
      </c>
      <c r="E93" s="46" t="str">
        <f t="shared" ref="E93:E96" si="17">IF(VLOOKUP(G93,$C$32:$E$63,3,FALSE)="","",VLOOKUP(G93,$C$32:$E$63,3,FALSE))</f>
        <v/>
      </c>
      <c r="F93" s="47"/>
      <c r="G93" s="13"/>
      <c r="H93" s="46" t="str">
        <f t="shared" si="15"/>
        <v/>
      </c>
      <c r="I93" s="47"/>
      <c r="J93" s="15"/>
      <c r="K93" s="49"/>
    </row>
    <row r="94" spans="2:11" ht="22.5" customHeight="1" x14ac:dyDescent="0.3">
      <c r="B94" s="42"/>
      <c r="C94" s="1" t="s">
        <v>5</v>
      </c>
      <c r="D94" s="8" t="str">
        <f t="shared" si="16"/>
        <v/>
      </c>
      <c r="E94" s="46" t="str">
        <f t="shared" si="17"/>
        <v/>
      </c>
      <c r="F94" s="47"/>
      <c r="G94" s="13"/>
      <c r="H94" s="46" t="str">
        <f t="shared" si="15"/>
        <v/>
      </c>
      <c r="I94" s="47"/>
      <c r="J94" s="15"/>
      <c r="K94" s="49"/>
    </row>
    <row r="95" spans="2:11" ht="22.5" customHeight="1" x14ac:dyDescent="0.3">
      <c r="B95" s="42"/>
      <c r="C95" s="1" t="s">
        <v>6</v>
      </c>
      <c r="D95" s="8" t="str">
        <f t="shared" si="16"/>
        <v/>
      </c>
      <c r="E95" s="46" t="str">
        <f t="shared" si="17"/>
        <v/>
      </c>
      <c r="F95" s="47"/>
      <c r="G95" s="13"/>
      <c r="H95" s="46" t="str">
        <f t="shared" si="15"/>
        <v/>
      </c>
      <c r="I95" s="47"/>
      <c r="J95" s="15"/>
      <c r="K95" s="49"/>
    </row>
    <row r="96" spans="2:11" ht="22.5" customHeight="1" x14ac:dyDescent="0.3">
      <c r="B96" s="43"/>
      <c r="C96" s="1" t="s">
        <v>7</v>
      </c>
      <c r="D96" s="8" t="str">
        <f t="shared" si="16"/>
        <v/>
      </c>
      <c r="E96" s="46" t="str">
        <f t="shared" si="17"/>
        <v/>
      </c>
      <c r="F96" s="47"/>
      <c r="G96" s="13"/>
      <c r="H96" s="46" t="str">
        <f t="shared" si="15"/>
        <v/>
      </c>
      <c r="I96" s="47"/>
      <c r="J96" s="15"/>
      <c r="K96" s="50"/>
    </row>
    <row r="97" spans="2:11" ht="22.5" customHeight="1" x14ac:dyDescent="0.3">
      <c r="B97" s="41" t="s">
        <v>19</v>
      </c>
      <c r="C97" s="5" t="s">
        <v>8</v>
      </c>
      <c r="D97" s="5" t="s">
        <v>10</v>
      </c>
      <c r="E97" s="44" t="s">
        <v>13</v>
      </c>
      <c r="F97" s="45"/>
      <c r="G97" s="12" t="s">
        <v>11</v>
      </c>
      <c r="H97" s="44" t="s">
        <v>12</v>
      </c>
      <c r="I97" s="45"/>
      <c r="J97" s="12" t="s">
        <v>14</v>
      </c>
      <c r="K97" s="12" t="s">
        <v>34</v>
      </c>
    </row>
    <row r="98" spans="2:11" ht="22.5" customHeight="1" x14ac:dyDescent="0.3">
      <c r="B98" s="42"/>
      <c r="C98" s="1" t="s">
        <v>0</v>
      </c>
      <c r="D98" s="8" t="str">
        <f>IF(VLOOKUP(G98,$C$32:$E$63,2,FALSE)="","",VLOOKUP(G98,$C$32:$E$63,2,FALSE))</f>
        <v/>
      </c>
      <c r="E98" s="46" t="str">
        <f>IF(VLOOKUP(G98,$C$32:$E$63,3,FALSE)="","",VLOOKUP(G98,$C$32:$E$63,3,FALSE))</f>
        <v/>
      </c>
      <c r="F98" s="47"/>
      <c r="G98" s="13"/>
      <c r="H98" s="46" t="str">
        <f>IFERROR(VLOOKUP(G98,$G$32:$H$63,2,FALSE),"")</f>
        <v/>
      </c>
      <c r="I98" s="47"/>
      <c r="J98" s="15"/>
      <c r="K98" s="48"/>
    </row>
    <row r="99" spans="2:11" ht="22.5" customHeight="1" x14ac:dyDescent="0.3">
      <c r="B99" s="42"/>
      <c r="C99" s="1" t="s">
        <v>1</v>
      </c>
      <c r="D99" s="8" t="str">
        <f t="shared" ref="D99:D100" si="18">IF(VLOOKUP(G99,$C$32:$E$63,2,FALSE)="","",VLOOKUP(G99,$C$32:$E$63,2,FALSE))</f>
        <v/>
      </c>
      <c r="E99" s="46" t="str">
        <f t="shared" ref="E99:E100" si="19">IF(VLOOKUP(G99,$C$32:$E$63,3,FALSE)="","",VLOOKUP(G99,$C$32:$E$63,3,FALSE))</f>
        <v/>
      </c>
      <c r="F99" s="47"/>
      <c r="G99" s="13"/>
      <c r="H99" s="46" t="str">
        <f t="shared" ref="H99:H106" si="20">IFERROR(VLOOKUP(G99,$G$32:$H$63,2,FALSE),"")</f>
        <v/>
      </c>
      <c r="I99" s="47"/>
      <c r="J99" s="15"/>
      <c r="K99" s="49"/>
    </row>
    <row r="100" spans="2:11" ht="22.5" customHeight="1" x14ac:dyDescent="0.3">
      <c r="B100" s="42"/>
      <c r="C100" s="1" t="s">
        <v>2</v>
      </c>
      <c r="D100" s="8" t="str">
        <f t="shared" si="18"/>
        <v/>
      </c>
      <c r="E100" s="46" t="str">
        <f t="shared" si="19"/>
        <v/>
      </c>
      <c r="F100" s="47"/>
      <c r="G100" s="13"/>
      <c r="H100" s="46" t="str">
        <f t="shared" si="20"/>
        <v/>
      </c>
      <c r="I100" s="47"/>
      <c r="J100" s="15"/>
      <c r="K100" s="49"/>
    </row>
    <row r="101" spans="2:11" ht="22.5" customHeight="1" x14ac:dyDescent="0.3">
      <c r="B101" s="42"/>
      <c r="C101" s="2" t="s">
        <v>18</v>
      </c>
      <c r="D101" s="7"/>
      <c r="E101" s="51"/>
      <c r="F101" s="52"/>
      <c r="G101" s="17"/>
      <c r="H101" s="51"/>
      <c r="I101" s="52"/>
      <c r="J101" s="16"/>
      <c r="K101" s="49"/>
    </row>
    <row r="102" spans="2:11" ht="22.5" customHeight="1" x14ac:dyDescent="0.3">
      <c r="B102" s="42"/>
      <c r="C102" s="1" t="s">
        <v>3</v>
      </c>
      <c r="D102" s="8" t="str">
        <f>IF(VLOOKUP(G102,$C$32:$E$63,2,FALSE)="","",VLOOKUP(G102,$C$32:$E$63,2,FALSE))</f>
        <v/>
      </c>
      <c r="E102" s="46" t="str">
        <f>IF(VLOOKUP(G102,$C$32:$E$63,3,FALSE)="","",VLOOKUP(G102,$C$32:$E$63,3,FALSE))</f>
        <v/>
      </c>
      <c r="F102" s="47"/>
      <c r="G102" s="13"/>
      <c r="H102" s="46" t="str">
        <f t="shared" si="20"/>
        <v/>
      </c>
      <c r="I102" s="47"/>
      <c r="J102" s="15"/>
      <c r="K102" s="49"/>
    </row>
    <row r="103" spans="2:11" ht="22.5" customHeight="1" x14ac:dyDescent="0.3">
      <c r="B103" s="42"/>
      <c r="C103" s="1" t="s">
        <v>4</v>
      </c>
      <c r="D103" s="8" t="str">
        <f t="shared" ref="D103:D106" si="21">IF(VLOOKUP(G103,$C$32:$E$63,2,FALSE)="","",VLOOKUP(G103,$C$32:$E$63,2,FALSE))</f>
        <v/>
      </c>
      <c r="E103" s="46" t="str">
        <f t="shared" ref="E103:E106" si="22">IF(VLOOKUP(G103,$C$32:$E$63,3,FALSE)="","",VLOOKUP(G103,$C$32:$E$63,3,FALSE))</f>
        <v/>
      </c>
      <c r="F103" s="47"/>
      <c r="G103" s="13"/>
      <c r="H103" s="46" t="str">
        <f t="shared" si="20"/>
        <v/>
      </c>
      <c r="I103" s="47"/>
      <c r="J103" s="15"/>
      <c r="K103" s="49"/>
    </row>
    <row r="104" spans="2:11" ht="22.5" customHeight="1" x14ac:dyDescent="0.3">
      <c r="B104" s="42"/>
      <c r="C104" s="1" t="s">
        <v>5</v>
      </c>
      <c r="D104" s="8" t="str">
        <f t="shared" si="21"/>
        <v/>
      </c>
      <c r="E104" s="46" t="str">
        <f t="shared" si="22"/>
        <v/>
      </c>
      <c r="F104" s="47"/>
      <c r="G104" s="13"/>
      <c r="H104" s="46" t="str">
        <f t="shared" si="20"/>
        <v/>
      </c>
      <c r="I104" s="47"/>
      <c r="J104" s="15"/>
      <c r="K104" s="49"/>
    </row>
    <row r="105" spans="2:11" ht="22.5" customHeight="1" x14ac:dyDescent="0.3">
      <c r="B105" s="42"/>
      <c r="C105" s="1" t="s">
        <v>6</v>
      </c>
      <c r="D105" s="8" t="str">
        <f t="shared" si="21"/>
        <v/>
      </c>
      <c r="E105" s="46" t="str">
        <f t="shared" si="22"/>
        <v/>
      </c>
      <c r="F105" s="47"/>
      <c r="G105" s="13"/>
      <c r="H105" s="46" t="str">
        <f t="shared" si="20"/>
        <v/>
      </c>
      <c r="I105" s="47"/>
      <c r="J105" s="15"/>
      <c r="K105" s="49"/>
    </row>
    <row r="106" spans="2:11" ht="22.5" customHeight="1" x14ac:dyDescent="0.3">
      <c r="B106" s="43"/>
      <c r="C106" s="1" t="s">
        <v>7</v>
      </c>
      <c r="D106" s="8" t="str">
        <f t="shared" si="21"/>
        <v/>
      </c>
      <c r="E106" s="46" t="str">
        <f t="shared" si="22"/>
        <v/>
      </c>
      <c r="F106" s="47"/>
      <c r="G106" s="13"/>
      <c r="H106" s="46" t="str">
        <f t="shared" si="20"/>
        <v/>
      </c>
      <c r="I106" s="47"/>
      <c r="J106" s="15"/>
      <c r="K106" s="50"/>
    </row>
    <row r="107" spans="2:11" ht="22.5" customHeight="1" x14ac:dyDescent="0.3">
      <c r="B107" s="41" t="s">
        <v>20</v>
      </c>
      <c r="C107" s="5" t="s">
        <v>8</v>
      </c>
      <c r="D107" s="5" t="s">
        <v>10</v>
      </c>
      <c r="E107" s="44" t="s">
        <v>13</v>
      </c>
      <c r="F107" s="45"/>
      <c r="G107" s="12" t="s">
        <v>11</v>
      </c>
      <c r="H107" s="44" t="s">
        <v>12</v>
      </c>
      <c r="I107" s="45"/>
      <c r="J107" s="12" t="s">
        <v>14</v>
      </c>
      <c r="K107" s="12" t="s">
        <v>35</v>
      </c>
    </row>
    <row r="108" spans="2:11" ht="22.5" customHeight="1" x14ac:dyDescent="0.3">
      <c r="B108" s="42"/>
      <c r="C108" s="1" t="s">
        <v>0</v>
      </c>
      <c r="D108" s="8" t="str">
        <f>IF(VLOOKUP(G108,$C$32:$E$63,2,FALSE)="","",VLOOKUP(G108,$C$32:$E$63,2,FALSE))</f>
        <v/>
      </c>
      <c r="E108" s="46" t="str">
        <f>IF(VLOOKUP(G108,$C$32:$E$63,3,FALSE)="","",VLOOKUP(G108,$C$32:$E$63,3,FALSE))</f>
        <v/>
      </c>
      <c r="F108" s="47"/>
      <c r="G108" s="13"/>
      <c r="H108" s="46" t="str">
        <f>IFERROR(VLOOKUP(G108,$G$32:$H$63,2,FALSE),"")</f>
        <v/>
      </c>
      <c r="I108" s="47"/>
      <c r="J108" s="15"/>
      <c r="K108" s="48"/>
    </row>
    <row r="109" spans="2:11" ht="22.5" customHeight="1" x14ac:dyDescent="0.3">
      <c r="B109" s="42"/>
      <c r="C109" s="1" t="s">
        <v>1</v>
      </c>
      <c r="D109" s="8" t="str">
        <f t="shared" ref="D109:D110" si="23">IF(VLOOKUP(G109,$C$32:$E$63,2,FALSE)="","",VLOOKUP(G109,$C$32:$E$63,2,FALSE))</f>
        <v/>
      </c>
      <c r="E109" s="46" t="str">
        <f t="shared" ref="E109:E110" si="24">IF(VLOOKUP(G109,$C$32:$E$63,3,FALSE)="","",VLOOKUP(G109,$C$32:$E$63,3,FALSE))</f>
        <v/>
      </c>
      <c r="F109" s="47"/>
      <c r="G109" s="13"/>
      <c r="H109" s="46" t="str">
        <f t="shared" ref="H109:H116" si="25">IFERROR(VLOOKUP(G109,$G$32:$H$63,2,FALSE),"")</f>
        <v/>
      </c>
      <c r="I109" s="47"/>
      <c r="J109" s="15"/>
      <c r="K109" s="49"/>
    </row>
    <row r="110" spans="2:11" ht="22.5" customHeight="1" x14ac:dyDescent="0.3">
      <c r="B110" s="42"/>
      <c r="C110" s="1" t="s">
        <v>2</v>
      </c>
      <c r="D110" s="8" t="str">
        <f t="shared" si="23"/>
        <v/>
      </c>
      <c r="E110" s="46" t="str">
        <f t="shared" si="24"/>
        <v/>
      </c>
      <c r="F110" s="47"/>
      <c r="G110" s="13"/>
      <c r="H110" s="46" t="str">
        <f t="shared" si="25"/>
        <v/>
      </c>
      <c r="I110" s="47"/>
      <c r="J110" s="15"/>
      <c r="K110" s="49"/>
    </row>
    <row r="111" spans="2:11" ht="22.5" customHeight="1" x14ac:dyDescent="0.3">
      <c r="B111" s="42"/>
      <c r="C111" s="2" t="s">
        <v>18</v>
      </c>
      <c r="D111" s="7"/>
      <c r="E111" s="51"/>
      <c r="F111" s="52"/>
      <c r="G111" s="17"/>
      <c r="H111" s="51"/>
      <c r="I111" s="52"/>
      <c r="J111" s="16"/>
      <c r="K111" s="49"/>
    </row>
    <row r="112" spans="2:11" ht="22.5" customHeight="1" x14ac:dyDescent="0.3">
      <c r="B112" s="42"/>
      <c r="C112" s="1" t="s">
        <v>3</v>
      </c>
      <c r="D112" s="8" t="str">
        <f>IF(VLOOKUP(G112,$C$32:$E$63,2,FALSE)="","",VLOOKUP(G112,$C$32:$E$63,2,FALSE))</f>
        <v/>
      </c>
      <c r="E112" s="46" t="str">
        <f>IF(VLOOKUP(G112,$C$32:$E$63,3,FALSE)="","",VLOOKUP(G112,$C$32:$E$63,3,FALSE))</f>
        <v/>
      </c>
      <c r="F112" s="47"/>
      <c r="G112" s="13"/>
      <c r="H112" s="46" t="str">
        <f t="shared" si="25"/>
        <v/>
      </c>
      <c r="I112" s="47"/>
      <c r="J112" s="15"/>
      <c r="K112" s="49"/>
    </row>
    <row r="113" spans="2:11" ht="22.5" customHeight="1" x14ac:dyDescent="0.3">
      <c r="B113" s="42"/>
      <c r="C113" s="1" t="s">
        <v>4</v>
      </c>
      <c r="D113" s="8" t="str">
        <f t="shared" ref="D113:D116" si="26">IF(VLOOKUP(G113,$C$32:$E$63,2,FALSE)="","",VLOOKUP(G113,$C$32:$E$63,2,FALSE))</f>
        <v/>
      </c>
      <c r="E113" s="46" t="str">
        <f t="shared" ref="E113:E116" si="27">IF(VLOOKUP(G113,$C$32:$E$63,3,FALSE)="","",VLOOKUP(G113,$C$32:$E$63,3,FALSE))</f>
        <v/>
      </c>
      <c r="F113" s="47"/>
      <c r="G113" s="13"/>
      <c r="H113" s="46" t="str">
        <f t="shared" si="25"/>
        <v/>
      </c>
      <c r="I113" s="47"/>
      <c r="J113" s="15"/>
      <c r="K113" s="49"/>
    </row>
    <row r="114" spans="2:11" ht="22.5" customHeight="1" x14ac:dyDescent="0.3">
      <c r="B114" s="42"/>
      <c r="C114" s="1" t="s">
        <v>5</v>
      </c>
      <c r="D114" s="8" t="str">
        <f t="shared" si="26"/>
        <v/>
      </c>
      <c r="E114" s="46" t="str">
        <f t="shared" si="27"/>
        <v/>
      </c>
      <c r="F114" s="47"/>
      <c r="G114" s="13"/>
      <c r="H114" s="46" t="str">
        <f t="shared" si="25"/>
        <v/>
      </c>
      <c r="I114" s="47"/>
      <c r="J114" s="15"/>
      <c r="K114" s="49"/>
    </row>
    <row r="115" spans="2:11" ht="22.5" customHeight="1" x14ac:dyDescent="0.3">
      <c r="B115" s="42"/>
      <c r="C115" s="1" t="s">
        <v>6</v>
      </c>
      <c r="D115" s="8" t="str">
        <f t="shared" si="26"/>
        <v/>
      </c>
      <c r="E115" s="46" t="str">
        <f t="shared" si="27"/>
        <v/>
      </c>
      <c r="F115" s="47"/>
      <c r="G115" s="13"/>
      <c r="H115" s="46" t="str">
        <f t="shared" si="25"/>
        <v/>
      </c>
      <c r="I115" s="47"/>
      <c r="J115" s="15"/>
      <c r="K115" s="49"/>
    </row>
    <row r="116" spans="2:11" ht="22.5" customHeight="1" x14ac:dyDescent="0.3">
      <c r="B116" s="43"/>
      <c r="C116" s="1" t="s">
        <v>7</v>
      </c>
      <c r="D116" s="8" t="str">
        <f t="shared" si="26"/>
        <v/>
      </c>
      <c r="E116" s="46" t="str">
        <f t="shared" si="27"/>
        <v/>
      </c>
      <c r="F116" s="47"/>
      <c r="G116" s="13"/>
      <c r="H116" s="46" t="str">
        <f t="shared" si="25"/>
        <v/>
      </c>
      <c r="I116" s="47"/>
      <c r="J116" s="15"/>
      <c r="K116" s="50"/>
    </row>
    <row r="117" spans="2:11" ht="22.5" customHeight="1" x14ac:dyDescent="0.3">
      <c r="K117" s="11">
        <f>COUNTA(K68,K78,K88,K98,K108)</f>
        <v>0</v>
      </c>
    </row>
    <row r="118" spans="2:11" ht="22.5" customHeight="1" x14ac:dyDescent="0.3"/>
    <row r="119" spans="2:11" ht="22.5" customHeight="1" x14ac:dyDescent="0.3"/>
    <row r="120" spans="2:11" ht="22.5" customHeight="1" x14ac:dyDescent="0.3"/>
    <row r="121" spans="2:11" ht="22.5" customHeight="1" x14ac:dyDescent="0.3"/>
    <row r="122" spans="2:11" ht="22.5" customHeight="1" x14ac:dyDescent="0.3"/>
    <row r="123" spans="2:11" ht="22.5" customHeight="1" x14ac:dyDescent="0.3"/>
    <row r="124" spans="2:11" ht="22.5" customHeight="1" x14ac:dyDescent="0.3"/>
    <row r="125" spans="2:11" ht="22.5" customHeight="1" x14ac:dyDescent="0.3"/>
    <row r="126" spans="2:11" ht="22.5" customHeight="1" x14ac:dyDescent="0.3"/>
    <row r="127" spans="2:11" ht="22.5" customHeight="1" x14ac:dyDescent="0.3"/>
    <row r="128" spans="2:11" ht="22.5" customHeight="1" x14ac:dyDescent="0.3"/>
  </sheetData>
  <mergeCells count="164">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B22:B24"/>
    <mergeCell ref="C22:I22"/>
    <mergeCell ref="J22:K22"/>
    <mergeCell ref="C23:I23"/>
    <mergeCell ref="J23:K23"/>
    <mergeCell ref="C24:I24"/>
    <mergeCell ref="J24:K24"/>
    <mergeCell ref="B67:B76"/>
    <mergeCell ref="E67:F67"/>
    <mergeCell ref="H67:I67"/>
    <mergeCell ref="E68:F68"/>
    <mergeCell ref="H68:I68"/>
    <mergeCell ref="K68:K76"/>
    <mergeCell ref="E69:F69"/>
    <mergeCell ref="H69:I69"/>
    <mergeCell ref="E70:F70"/>
    <mergeCell ref="H70:I70"/>
    <mergeCell ref="E74:F74"/>
    <mergeCell ref="H74:I74"/>
    <mergeCell ref="E75:F75"/>
    <mergeCell ref="H75:I75"/>
    <mergeCell ref="E76:F76"/>
    <mergeCell ref="H76:I76"/>
    <mergeCell ref="E71:F71"/>
    <mergeCell ref="H71:I71"/>
    <mergeCell ref="E72:F72"/>
    <mergeCell ref="H72:I72"/>
    <mergeCell ref="E73:F73"/>
    <mergeCell ref="H73:I73"/>
    <mergeCell ref="B77:B86"/>
    <mergeCell ref="E77:F77"/>
    <mergeCell ref="H77:I77"/>
    <mergeCell ref="E78:F78"/>
    <mergeCell ref="H78:I78"/>
    <mergeCell ref="K78:K86"/>
    <mergeCell ref="E79:F79"/>
    <mergeCell ref="H79:I79"/>
    <mergeCell ref="E80:F80"/>
    <mergeCell ref="H80:I80"/>
    <mergeCell ref="E84:F84"/>
    <mergeCell ref="H84:I84"/>
    <mergeCell ref="E85:F85"/>
    <mergeCell ref="H85:I85"/>
    <mergeCell ref="E86:F86"/>
    <mergeCell ref="H86:I86"/>
    <mergeCell ref="E81:F81"/>
    <mergeCell ref="H81:I81"/>
    <mergeCell ref="E82:F82"/>
    <mergeCell ref="H82:I82"/>
    <mergeCell ref="E83:F83"/>
    <mergeCell ref="H83:I83"/>
    <mergeCell ref="B87:B96"/>
    <mergeCell ref="E87:F87"/>
    <mergeCell ref="H87:I87"/>
    <mergeCell ref="E88:F88"/>
    <mergeCell ref="H88:I88"/>
    <mergeCell ref="K88:K96"/>
    <mergeCell ref="E89:F89"/>
    <mergeCell ref="H89:I89"/>
    <mergeCell ref="E90:F90"/>
    <mergeCell ref="H90:I90"/>
    <mergeCell ref="E94:F94"/>
    <mergeCell ref="H94:I94"/>
    <mergeCell ref="E95:F95"/>
    <mergeCell ref="H95:I95"/>
    <mergeCell ref="E96:F96"/>
    <mergeCell ref="H96:I96"/>
    <mergeCell ref="E91:F91"/>
    <mergeCell ref="H91:I91"/>
    <mergeCell ref="E92:F92"/>
    <mergeCell ref="H92:I92"/>
    <mergeCell ref="E93:F93"/>
    <mergeCell ref="H93:I93"/>
    <mergeCell ref="B97:B106"/>
    <mergeCell ref="E97:F97"/>
    <mergeCell ref="H97:I97"/>
    <mergeCell ref="E98:F98"/>
    <mergeCell ref="H98:I98"/>
    <mergeCell ref="K98:K106"/>
    <mergeCell ref="E99:F99"/>
    <mergeCell ref="H99:I99"/>
    <mergeCell ref="E100:F100"/>
    <mergeCell ref="H100:I100"/>
    <mergeCell ref="E104:F104"/>
    <mergeCell ref="H104:I104"/>
    <mergeCell ref="E105:F105"/>
    <mergeCell ref="H105:I105"/>
    <mergeCell ref="E106:F106"/>
    <mergeCell ref="H106:I106"/>
    <mergeCell ref="E101:F101"/>
    <mergeCell ref="H101:I101"/>
    <mergeCell ref="E102:F102"/>
    <mergeCell ref="H102:I102"/>
    <mergeCell ref="E103:F103"/>
    <mergeCell ref="H103:I103"/>
    <mergeCell ref="C4:I4"/>
    <mergeCell ref="J4:K4"/>
    <mergeCell ref="B107:B116"/>
    <mergeCell ref="E107:F107"/>
    <mergeCell ref="H107:I107"/>
    <mergeCell ref="E108:F108"/>
    <mergeCell ref="H108:I108"/>
    <mergeCell ref="K108:K116"/>
    <mergeCell ref="E109:F109"/>
    <mergeCell ref="H109:I109"/>
    <mergeCell ref="E110:F110"/>
    <mergeCell ref="H110:I110"/>
    <mergeCell ref="E114:F114"/>
    <mergeCell ref="H114:I114"/>
    <mergeCell ref="E115:F115"/>
    <mergeCell ref="H115:I115"/>
    <mergeCell ref="E116:F116"/>
    <mergeCell ref="H116:I116"/>
    <mergeCell ref="E111:F111"/>
    <mergeCell ref="H111:I111"/>
    <mergeCell ref="E112:F112"/>
    <mergeCell ref="H112:I112"/>
    <mergeCell ref="E113:F113"/>
    <mergeCell ref="H113:I1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A696462-5653-4BF9-9753-28DE80BB5BA4}">
          <x14:formula1>
            <xm:f>통합!$A$3:$A$44</xm:f>
          </x14:formula1>
          <xm:sqref>J32:J63 C2:I2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53"/>
      <c r="D1" s="53"/>
      <c r="E1" s="53"/>
      <c r="F1" s="53"/>
      <c r="G1" s="53"/>
      <c r="H1" s="53"/>
      <c r="I1" s="54"/>
      <c r="J1" s="55" t="s">
        <v>36</v>
      </c>
      <c r="K1" s="55"/>
      <c r="L1" s="10"/>
      <c r="M1" s="10"/>
      <c r="N1" s="10"/>
      <c r="O1" s="10"/>
      <c r="P1" s="10"/>
    </row>
    <row r="2" spans="2:16" ht="21.75" customHeight="1" x14ac:dyDescent="0.3">
      <c r="B2" s="4" t="s">
        <v>21</v>
      </c>
      <c r="C2" s="53"/>
      <c r="D2" s="53"/>
      <c r="E2" s="53"/>
      <c r="F2" s="53"/>
      <c r="G2" s="53"/>
      <c r="H2" s="53"/>
      <c r="I2" s="54"/>
      <c r="J2" s="55" t="s">
        <v>37</v>
      </c>
      <c r="K2" s="55"/>
      <c r="L2" s="10"/>
      <c r="M2" s="10"/>
      <c r="N2" s="10"/>
      <c r="O2" s="10"/>
      <c r="P2" s="10"/>
    </row>
    <row r="3" spans="2:16" ht="21.75" customHeight="1" x14ac:dyDescent="0.3">
      <c r="B3" s="4" t="s">
        <v>24</v>
      </c>
      <c r="C3" s="53"/>
      <c r="D3" s="53"/>
      <c r="E3" s="53"/>
      <c r="F3" s="53"/>
      <c r="G3" s="53"/>
      <c r="H3" s="53"/>
      <c r="I3" s="54"/>
      <c r="J3" s="55" t="s">
        <v>38</v>
      </c>
      <c r="K3" s="55"/>
      <c r="L3" s="10"/>
      <c r="M3" s="10"/>
      <c r="N3" s="10"/>
      <c r="O3" s="10"/>
      <c r="P3" s="10"/>
    </row>
    <row r="4" spans="2:16" ht="44.25" customHeight="1" x14ac:dyDescent="0.3">
      <c r="B4" s="4" t="s">
        <v>22</v>
      </c>
      <c r="C4" s="57"/>
      <c r="D4" s="53"/>
      <c r="E4" s="53"/>
      <c r="F4" s="53"/>
      <c r="G4" s="53"/>
      <c r="H4" s="53"/>
      <c r="I4" s="54"/>
      <c r="J4" s="55" t="s">
        <v>39</v>
      </c>
      <c r="K4" s="55"/>
      <c r="L4" s="10"/>
      <c r="M4" s="10"/>
      <c r="N4" s="10"/>
      <c r="O4" s="10"/>
      <c r="P4" s="10"/>
    </row>
    <row r="5" spans="2:16" ht="28.5" customHeight="1" x14ac:dyDescent="0.3">
      <c r="B5" s="4" t="s">
        <v>25</v>
      </c>
      <c r="C5" s="53"/>
      <c r="D5" s="53"/>
      <c r="E5" s="53"/>
      <c r="F5" s="53"/>
      <c r="G5" s="53"/>
      <c r="H5" s="53"/>
      <c r="I5" s="54"/>
      <c r="J5" s="55" t="s">
        <v>40</v>
      </c>
      <c r="K5" s="55"/>
      <c r="L5" s="10"/>
      <c r="M5" s="10"/>
      <c r="N5" s="10"/>
      <c r="O5" s="10"/>
      <c r="P5" s="10"/>
    </row>
    <row r="6" spans="2:16" ht="78" customHeight="1" x14ac:dyDescent="0.3">
      <c r="B6" s="4" t="s">
        <v>27</v>
      </c>
      <c r="C6" s="57"/>
      <c r="D6" s="53"/>
      <c r="E6" s="53"/>
      <c r="F6" s="53"/>
      <c r="G6" s="53"/>
      <c r="H6" s="53"/>
      <c r="I6" s="54"/>
      <c r="J6" s="55" t="s">
        <v>41</v>
      </c>
      <c r="K6" s="55"/>
      <c r="L6" s="10"/>
      <c r="M6" s="10"/>
      <c r="N6" s="10"/>
      <c r="O6" s="10"/>
      <c r="P6" s="10"/>
    </row>
    <row r="7" spans="2:16" ht="62.25" customHeight="1" x14ac:dyDescent="0.3">
      <c r="B7" s="58" t="s">
        <v>28</v>
      </c>
      <c r="C7" s="57"/>
      <c r="D7" s="53"/>
      <c r="E7" s="53"/>
      <c r="F7" s="53"/>
      <c r="G7" s="53"/>
      <c r="H7" s="53"/>
      <c r="I7" s="54"/>
      <c r="J7" s="55" t="s">
        <v>42</v>
      </c>
      <c r="K7" s="55"/>
      <c r="L7" s="10"/>
      <c r="M7" s="10"/>
      <c r="N7" s="10"/>
      <c r="O7" s="10"/>
      <c r="P7" s="10"/>
    </row>
    <row r="8" spans="2:16" ht="62.25" customHeight="1" x14ac:dyDescent="0.3">
      <c r="B8" s="58"/>
      <c r="C8" s="57"/>
      <c r="D8" s="53"/>
      <c r="E8" s="53"/>
      <c r="F8" s="53"/>
      <c r="G8" s="53"/>
      <c r="H8" s="53"/>
      <c r="I8" s="54"/>
      <c r="J8" s="55" t="s">
        <v>43</v>
      </c>
      <c r="K8" s="55"/>
      <c r="L8" s="10"/>
      <c r="M8" s="10"/>
      <c r="N8" s="10"/>
      <c r="O8" s="10"/>
      <c r="P8" s="10"/>
    </row>
    <row r="9" spans="2:16" ht="62.25" customHeight="1" x14ac:dyDescent="0.3">
      <c r="B9" s="58"/>
      <c r="C9" s="57"/>
      <c r="D9" s="53"/>
      <c r="E9" s="53"/>
      <c r="F9" s="53"/>
      <c r="G9" s="53"/>
      <c r="H9" s="53"/>
      <c r="I9" s="54"/>
      <c r="J9" s="55" t="s">
        <v>44</v>
      </c>
      <c r="K9" s="55"/>
      <c r="L9" s="10"/>
      <c r="M9" s="10"/>
      <c r="N9" s="10"/>
      <c r="O9" s="10"/>
      <c r="P9" s="10"/>
    </row>
    <row r="10" spans="2:16" ht="83.25" customHeight="1" x14ac:dyDescent="0.3">
      <c r="B10" s="6" t="s">
        <v>29</v>
      </c>
      <c r="C10" s="57"/>
      <c r="D10" s="53"/>
      <c r="E10" s="53"/>
      <c r="F10" s="53"/>
      <c r="G10" s="53"/>
      <c r="H10" s="53"/>
      <c r="I10" s="54"/>
      <c r="J10" s="55" t="s">
        <v>45</v>
      </c>
      <c r="K10" s="55"/>
      <c r="L10" s="10"/>
      <c r="M10" s="10"/>
      <c r="N10" s="10"/>
      <c r="O10" s="10"/>
      <c r="P10" s="10"/>
    </row>
    <row r="11" spans="2:16" ht="47.25" customHeight="1" x14ac:dyDescent="0.3">
      <c r="B11" s="6" t="s">
        <v>46</v>
      </c>
      <c r="C11" s="57"/>
      <c r="D11" s="53"/>
      <c r="E11" s="53"/>
      <c r="F11" s="53"/>
      <c r="G11" s="53"/>
      <c r="H11" s="53"/>
      <c r="I11" s="54"/>
      <c r="J11" s="55" t="s">
        <v>47</v>
      </c>
      <c r="K11" s="55"/>
      <c r="L11" s="10"/>
      <c r="M11" s="10"/>
      <c r="N11" s="10"/>
      <c r="O11" s="10"/>
      <c r="P11" s="10"/>
    </row>
    <row r="12" spans="2:16" ht="26.25" customHeight="1" x14ac:dyDescent="0.3">
      <c r="B12" s="4" t="s">
        <v>26</v>
      </c>
      <c r="C12" s="53"/>
      <c r="D12" s="53"/>
      <c r="E12" s="53"/>
      <c r="F12" s="53"/>
      <c r="G12" s="53"/>
      <c r="H12" s="53"/>
      <c r="I12" s="54"/>
      <c r="J12" s="55" t="s">
        <v>48</v>
      </c>
      <c r="K12" s="55"/>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41" t="s">
        <v>9</v>
      </c>
      <c r="C49" s="5" t="s">
        <v>8</v>
      </c>
      <c r="D49" s="5" t="s">
        <v>10</v>
      </c>
      <c r="E49" s="44" t="s">
        <v>13</v>
      </c>
      <c r="F49" s="45"/>
      <c r="G49" s="12" t="s">
        <v>11</v>
      </c>
      <c r="H49" s="44" t="s">
        <v>12</v>
      </c>
      <c r="I49" s="45"/>
      <c r="J49" s="12" t="s">
        <v>14</v>
      </c>
      <c r="K49" s="12" t="s">
        <v>31</v>
      </c>
    </row>
    <row r="50" spans="2:11" ht="22.5" customHeight="1" x14ac:dyDescent="0.3">
      <c r="B50" s="42"/>
      <c r="C50" s="1" t="s">
        <v>0</v>
      </c>
      <c r="D50" s="8" t="str">
        <f>IF(VLOOKUP(G50,$C$16:$E$47,2,FALSE)="","",VLOOKUP(G50,$C$16:$E$47,2,FALSE))</f>
        <v>2001010211_19v4</v>
      </c>
      <c r="E50" s="46" t="str">
        <f>IF(VLOOKUP(G50,$C$16:$E$47,3,FALSE)="","",VLOOKUP(G50,$C$16:$E$47,3,FALSE))</f>
        <v xml:space="preserve">	정보시스템인프라분석</v>
      </c>
      <c r="F50" s="47"/>
      <c r="G50" s="13" t="s">
        <v>50</v>
      </c>
      <c r="H50" s="46" t="str">
        <f>IFERROR(VLOOKUP(G50,$G$16:$H$47,2,FALSE),"")</f>
        <v>하드웨어 분석하기</v>
      </c>
      <c r="I50" s="47"/>
      <c r="J50" s="15" t="s">
        <v>49</v>
      </c>
      <c r="K50" s="56" t="s">
        <v>54</v>
      </c>
    </row>
    <row r="51" spans="2:11" ht="22.5" customHeight="1" x14ac:dyDescent="0.3">
      <c r="B51" s="42"/>
      <c r="C51" s="1" t="s">
        <v>1</v>
      </c>
      <c r="D51" s="8" t="str">
        <f t="shared" ref="D51:D52" si="3">IF(VLOOKUP(G51,$C$16:$E$47,2,FALSE)="","",VLOOKUP(G51,$C$16:$E$47,2,FALSE))</f>
        <v/>
      </c>
      <c r="E51" s="46" t="str">
        <f t="shared" ref="E51:E52" si="4">IF(VLOOKUP(G51,$C$16:$E$47,3,FALSE)="","",VLOOKUP(G51,$C$16:$E$47,3,FALSE))</f>
        <v/>
      </c>
      <c r="F51" s="47"/>
      <c r="G51" s="13"/>
      <c r="H51" s="46" t="str">
        <f t="shared" ref="H51:H58" si="5">IFERROR(VLOOKUP(G51,$G$16:$H$47,2,FALSE),"")</f>
        <v/>
      </c>
      <c r="I51" s="47"/>
      <c r="J51" s="15"/>
      <c r="K51" s="49"/>
    </row>
    <row r="52" spans="2:11" ht="22.5" customHeight="1" x14ac:dyDescent="0.3">
      <c r="B52" s="42"/>
      <c r="C52" s="1" t="s">
        <v>2</v>
      </c>
      <c r="D52" s="8" t="str">
        <f t="shared" si="3"/>
        <v/>
      </c>
      <c r="E52" s="46" t="str">
        <f t="shared" si="4"/>
        <v/>
      </c>
      <c r="F52" s="47"/>
      <c r="G52" s="13"/>
      <c r="H52" s="46" t="str">
        <f t="shared" si="5"/>
        <v/>
      </c>
      <c r="I52" s="47"/>
      <c r="J52" s="15"/>
      <c r="K52" s="49"/>
    </row>
    <row r="53" spans="2:11" ht="22.5" customHeight="1" x14ac:dyDescent="0.3">
      <c r="B53" s="42"/>
      <c r="C53" s="2" t="s">
        <v>18</v>
      </c>
      <c r="D53" s="7"/>
      <c r="E53" s="51"/>
      <c r="F53" s="52"/>
      <c r="G53" s="17"/>
      <c r="H53" s="51"/>
      <c r="I53" s="52"/>
      <c r="J53" s="16"/>
      <c r="K53" s="49"/>
    </row>
    <row r="54" spans="2:11" ht="22.5" customHeight="1" x14ac:dyDescent="0.3">
      <c r="B54" s="42"/>
      <c r="C54" s="1" t="s">
        <v>3</v>
      </c>
      <c r="D54" s="8" t="str">
        <f>IF(VLOOKUP(G54,$C$16:$E$47,2,FALSE)="","",VLOOKUP(G54,$C$16:$E$47,2,FALSE))</f>
        <v/>
      </c>
      <c r="E54" s="46" t="str">
        <f>IF(VLOOKUP(G54,$C$16:$E$47,3,FALSE)="","",VLOOKUP(G54,$C$16:$E$47,3,FALSE))</f>
        <v/>
      </c>
      <c r="F54" s="47"/>
      <c r="G54" s="13"/>
      <c r="H54" s="46" t="str">
        <f t="shared" si="5"/>
        <v/>
      </c>
      <c r="I54" s="47"/>
      <c r="J54" s="15"/>
      <c r="K54" s="49"/>
    </row>
    <row r="55" spans="2:11" ht="22.5" customHeight="1" x14ac:dyDescent="0.3">
      <c r="B55" s="42"/>
      <c r="C55" s="1" t="s">
        <v>4</v>
      </c>
      <c r="D55" s="8" t="str">
        <f t="shared" ref="D55:D58" si="6">IF(VLOOKUP(G55,$C$16:$E$47,2,FALSE)="","",VLOOKUP(G55,$C$16:$E$47,2,FALSE))</f>
        <v/>
      </c>
      <c r="E55" s="46" t="str">
        <f t="shared" ref="E55:E58" si="7">IF(VLOOKUP(G55,$C$16:$E$47,3,FALSE)="","",VLOOKUP(G55,$C$16:$E$47,3,FALSE))</f>
        <v/>
      </c>
      <c r="F55" s="47"/>
      <c r="G55" s="13"/>
      <c r="H55" s="46" t="str">
        <f t="shared" si="5"/>
        <v/>
      </c>
      <c r="I55" s="47"/>
      <c r="J55" s="15"/>
      <c r="K55" s="49"/>
    </row>
    <row r="56" spans="2:11" ht="22.5" customHeight="1" x14ac:dyDescent="0.3">
      <c r="B56" s="42"/>
      <c r="C56" s="1" t="s">
        <v>5</v>
      </c>
      <c r="D56" s="8" t="str">
        <f t="shared" si="6"/>
        <v/>
      </c>
      <c r="E56" s="46" t="str">
        <f t="shared" si="7"/>
        <v/>
      </c>
      <c r="F56" s="47"/>
      <c r="G56" s="13"/>
      <c r="H56" s="46" t="str">
        <f t="shared" si="5"/>
        <v/>
      </c>
      <c r="I56" s="47"/>
      <c r="J56" s="15"/>
      <c r="K56" s="49"/>
    </row>
    <row r="57" spans="2:11" ht="22.5" customHeight="1" x14ac:dyDescent="0.3">
      <c r="B57" s="42"/>
      <c r="C57" s="1" t="s">
        <v>6</v>
      </c>
      <c r="D57" s="8" t="str">
        <f t="shared" si="6"/>
        <v/>
      </c>
      <c r="E57" s="46" t="str">
        <f t="shared" si="7"/>
        <v/>
      </c>
      <c r="F57" s="47"/>
      <c r="G57" s="13"/>
      <c r="H57" s="46" t="str">
        <f t="shared" si="5"/>
        <v/>
      </c>
      <c r="I57" s="47"/>
      <c r="J57" s="15"/>
      <c r="K57" s="49"/>
    </row>
    <row r="58" spans="2:11" ht="22.5" customHeight="1" x14ac:dyDescent="0.3">
      <c r="B58" s="43"/>
      <c r="C58" s="1" t="s">
        <v>7</v>
      </c>
      <c r="D58" s="8" t="str">
        <f t="shared" si="6"/>
        <v/>
      </c>
      <c r="E58" s="46" t="str">
        <f t="shared" si="7"/>
        <v/>
      </c>
      <c r="F58" s="47"/>
      <c r="G58" s="13"/>
      <c r="H58" s="46" t="str">
        <f t="shared" si="5"/>
        <v/>
      </c>
      <c r="I58" s="47"/>
      <c r="J58" s="15"/>
      <c r="K58" s="50"/>
    </row>
    <row r="59" spans="2:11" ht="22.5" customHeight="1" x14ac:dyDescent="0.3">
      <c r="B59" s="41" t="s">
        <v>16</v>
      </c>
      <c r="C59" s="5" t="s">
        <v>8</v>
      </c>
      <c r="D59" s="5" t="s">
        <v>10</v>
      </c>
      <c r="E59" s="44" t="s">
        <v>13</v>
      </c>
      <c r="F59" s="45"/>
      <c r="G59" s="12" t="s">
        <v>11</v>
      </c>
      <c r="H59" s="44" t="s">
        <v>12</v>
      </c>
      <c r="I59" s="45"/>
      <c r="J59" s="12" t="s">
        <v>14</v>
      </c>
      <c r="K59" s="12" t="s">
        <v>32</v>
      </c>
    </row>
    <row r="60" spans="2:11" ht="22.5" customHeight="1" x14ac:dyDescent="0.3">
      <c r="B60" s="42"/>
      <c r="C60" s="1" t="s">
        <v>0</v>
      </c>
      <c r="D60" s="8" t="str">
        <f>IF(VLOOKUP(G60,$C$16:$E$47,2,FALSE)="","",VLOOKUP(G60,$C$16:$E$47,2,FALSE))</f>
        <v/>
      </c>
      <c r="E60" s="46" t="str">
        <f>IF(VLOOKUP(G60,$C$16:$E$47,3,FALSE)="","",VLOOKUP(G60,$C$16:$E$47,3,FALSE))</f>
        <v/>
      </c>
      <c r="F60" s="47"/>
      <c r="G60" s="13"/>
      <c r="H60" s="46" t="str">
        <f>IFERROR(VLOOKUP(G60,$G$16:$H$47,2,FALSE),"")</f>
        <v/>
      </c>
      <c r="I60" s="47"/>
      <c r="J60" s="15"/>
      <c r="K60" s="48"/>
    </row>
    <row r="61" spans="2:11" ht="22.5" customHeight="1" x14ac:dyDescent="0.3">
      <c r="B61" s="42"/>
      <c r="C61" s="1" t="s">
        <v>1</v>
      </c>
      <c r="D61" s="8" t="str">
        <f t="shared" ref="D61:D62" si="8">IF(VLOOKUP(G61,$C$16:$E$47,2,FALSE)="","",VLOOKUP(G61,$C$16:$E$47,2,FALSE))</f>
        <v/>
      </c>
      <c r="E61" s="46" t="str">
        <f t="shared" ref="E61:E62" si="9">IF(VLOOKUP(G61,$C$16:$E$47,3,FALSE)="","",VLOOKUP(G61,$C$16:$E$47,3,FALSE))</f>
        <v/>
      </c>
      <c r="F61" s="47"/>
      <c r="G61" s="13"/>
      <c r="H61" s="46" t="str">
        <f t="shared" ref="H61:H68" si="10">IFERROR(VLOOKUP(G61,$G$16:$H$47,2,FALSE),"")</f>
        <v/>
      </c>
      <c r="I61" s="47"/>
      <c r="J61" s="15"/>
      <c r="K61" s="49"/>
    </row>
    <row r="62" spans="2:11" ht="22.5" customHeight="1" x14ac:dyDescent="0.3">
      <c r="B62" s="42"/>
      <c r="C62" s="1" t="s">
        <v>2</v>
      </c>
      <c r="D62" s="8" t="str">
        <f t="shared" si="8"/>
        <v/>
      </c>
      <c r="E62" s="46" t="str">
        <f t="shared" si="9"/>
        <v/>
      </c>
      <c r="F62" s="47"/>
      <c r="G62" s="13"/>
      <c r="H62" s="46" t="str">
        <f t="shared" si="10"/>
        <v/>
      </c>
      <c r="I62" s="47"/>
      <c r="J62" s="15"/>
      <c r="K62" s="49"/>
    </row>
    <row r="63" spans="2:11" ht="22.5" customHeight="1" x14ac:dyDescent="0.3">
      <c r="B63" s="42"/>
      <c r="C63" s="2" t="s">
        <v>18</v>
      </c>
      <c r="D63" s="7"/>
      <c r="E63" s="51"/>
      <c r="F63" s="52"/>
      <c r="G63" s="17"/>
      <c r="H63" s="51"/>
      <c r="I63" s="52"/>
      <c r="J63" s="16"/>
      <c r="K63" s="49"/>
    </row>
    <row r="64" spans="2:11" ht="22.5" customHeight="1" x14ac:dyDescent="0.3">
      <c r="B64" s="42"/>
      <c r="C64" s="1" t="s">
        <v>3</v>
      </c>
      <c r="D64" s="8" t="str">
        <f>IF(VLOOKUP(G64,$C$16:$E$47,2,FALSE)="","",VLOOKUP(G64,$C$16:$E$47,2,FALSE))</f>
        <v/>
      </c>
      <c r="E64" s="46" t="str">
        <f>IF(VLOOKUP(G64,$C$16:$E$47,3,FALSE)="","",VLOOKUP(G64,$C$16:$E$47,3,FALSE))</f>
        <v/>
      </c>
      <c r="F64" s="47"/>
      <c r="G64" s="13"/>
      <c r="H64" s="46" t="str">
        <f t="shared" si="10"/>
        <v/>
      </c>
      <c r="I64" s="47"/>
      <c r="J64" s="15"/>
      <c r="K64" s="49"/>
    </row>
    <row r="65" spans="2:11" ht="22.5" customHeight="1" x14ac:dyDescent="0.3">
      <c r="B65" s="42"/>
      <c r="C65" s="1" t="s">
        <v>4</v>
      </c>
      <c r="D65" s="8" t="str">
        <f t="shared" ref="D65:D68" si="11">IF(VLOOKUP(G65,$C$16:$E$47,2,FALSE)="","",VLOOKUP(G65,$C$16:$E$47,2,FALSE))</f>
        <v/>
      </c>
      <c r="E65" s="46" t="str">
        <f t="shared" ref="E65:E68" si="12">IF(VLOOKUP(G65,$C$16:$E$47,3,FALSE)="","",VLOOKUP(G65,$C$16:$E$47,3,FALSE))</f>
        <v/>
      </c>
      <c r="F65" s="47"/>
      <c r="G65" s="13"/>
      <c r="H65" s="46" t="str">
        <f t="shared" si="10"/>
        <v/>
      </c>
      <c r="I65" s="47"/>
      <c r="J65" s="15"/>
      <c r="K65" s="49"/>
    </row>
    <row r="66" spans="2:11" ht="22.5" customHeight="1" x14ac:dyDescent="0.3">
      <c r="B66" s="42"/>
      <c r="C66" s="1" t="s">
        <v>5</v>
      </c>
      <c r="D66" s="8" t="str">
        <f t="shared" si="11"/>
        <v/>
      </c>
      <c r="E66" s="46" t="str">
        <f t="shared" si="12"/>
        <v/>
      </c>
      <c r="F66" s="47"/>
      <c r="G66" s="13"/>
      <c r="H66" s="46" t="str">
        <f t="shared" si="10"/>
        <v/>
      </c>
      <c r="I66" s="47"/>
      <c r="J66" s="15"/>
      <c r="K66" s="49"/>
    </row>
    <row r="67" spans="2:11" ht="22.5" customHeight="1" x14ac:dyDescent="0.3">
      <c r="B67" s="42"/>
      <c r="C67" s="1" t="s">
        <v>6</v>
      </c>
      <c r="D67" s="8" t="str">
        <f t="shared" si="11"/>
        <v/>
      </c>
      <c r="E67" s="46" t="str">
        <f t="shared" si="12"/>
        <v/>
      </c>
      <c r="F67" s="47"/>
      <c r="G67" s="13"/>
      <c r="H67" s="46" t="str">
        <f t="shared" si="10"/>
        <v/>
      </c>
      <c r="I67" s="47"/>
      <c r="J67" s="15"/>
      <c r="K67" s="49"/>
    </row>
    <row r="68" spans="2:11" ht="22.5" customHeight="1" x14ac:dyDescent="0.3">
      <c r="B68" s="43"/>
      <c r="C68" s="1" t="s">
        <v>7</v>
      </c>
      <c r="D68" s="8" t="str">
        <f t="shared" si="11"/>
        <v/>
      </c>
      <c r="E68" s="46" t="str">
        <f t="shared" si="12"/>
        <v/>
      </c>
      <c r="F68" s="47"/>
      <c r="G68" s="13"/>
      <c r="H68" s="46" t="str">
        <f t="shared" si="10"/>
        <v/>
      </c>
      <c r="I68" s="47"/>
      <c r="J68" s="15"/>
      <c r="K68" s="50"/>
    </row>
    <row r="69" spans="2:11" ht="22.5" customHeight="1" x14ac:dyDescent="0.3">
      <c r="B69" s="41" t="s">
        <v>17</v>
      </c>
      <c r="C69" s="5" t="s">
        <v>8</v>
      </c>
      <c r="D69" s="5" t="s">
        <v>10</v>
      </c>
      <c r="E69" s="44" t="s">
        <v>13</v>
      </c>
      <c r="F69" s="45"/>
      <c r="G69" s="12" t="s">
        <v>11</v>
      </c>
      <c r="H69" s="44" t="s">
        <v>12</v>
      </c>
      <c r="I69" s="45"/>
      <c r="J69" s="12" t="s">
        <v>14</v>
      </c>
      <c r="K69" s="12" t="s">
        <v>33</v>
      </c>
    </row>
    <row r="70" spans="2:11" ht="22.5" customHeight="1" x14ac:dyDescent="0.3">
      <c r="B70" s="42"/>
      <c r="C70" s="1" t="s">
        <v>0</v>
      </c>
      <c r="D70" s="8" t="str">
        <f>IF(VLOOKUP(G70,$C$16:$E$47,2,FALSE)="","",VLOOKUP(G70,$C$16:$E$47,2,FALSE))</f>
        <v/>
      </c>
      <c r="E70" s="46" t="str">
        <f>IF(VLOOKUP(G70,$C$16:$E$47,3,FALSE)="","",VLOOKUP(G70,$C$16:$E$47,3,FALSE))</f>
        <v/>
      </c>
      <c r="F70" s="47"/>
      <c r="G70" s="13"/>
      <c r="H70" s="46" t="str">
        <f>IFERROR(VLOOKUP(G70,$G$16:$H$47,2,FALSE),"")</f>
        <v/>
      </c>
      <c r="I70" s="47"/>
      <c r="J70" s="15"/>
      <c r="K70" s="48"/>
    </row>
    <row r="71" spans="2:11" ht="22.5" customHeight="1" x14ac:dyDescent="0.3">
      <c r="B71" s="42"/>
      <c r="C71" s="1" t="s">
        <v>1</v>
      </c>
      <c r="D71" s="8" t="str">
        <f t="shared" ref="D71:D72" si="13">IF(VLOOKUP(G71,$C$16:$E$47,2,FALSE)="","",VLOOKUP(G71,$C$16:$E$47,2,FALSE))</f>
        <v/>
      </c>
      <c r="E71" s="46" t="str">
        <f t="shared" ref="E71:E72" si="14">IF(VLOOKUP(G71,$C$16:$E$47,3,FALSE)="","",VLOOKUP(G71,$C$16:$E$47,3,FALSE))</f>
        <v/>
      </c>
      <c r="F71" s="47"/>
      <c r="G71" s="13"/>
      <c r="H71" s="46" t="str">
        <f t="shared" ref="H71:H78" si="15">IFERROR(VLOOKUP(G71,$G$16:$H$47,2,FALSE),"")</f>
        <v/>
      </c>
      <c r="I71" s="47"/>
      <c r="J71" s="15"/>
      <c r="K71" s="49"/>
    </row>
    <row r="72" spans="2:11" ht="22.5" customHeight="1" x14ac:dyDescent="0.3">
      <c r="B72" s="42"/>
      <c r="C72" s="1" t="s">
        <v>2</v>
      </c>
      <c r="D72" s="8" t="str">
        <f t="shared" si="13"/>
        <v/>
      </c>
      <c r="E72" s="46" t="str">
        <f t="shared" si="14"/>
        <v/>
      </c>
      <c r="F72" s="47"/>
      <c r="G72" s="13"/>
      <c r="H72" s="46" t="str">
        <f t="shared" si="15"/>
        <v/>
      </c>
      <c r="I72" s="47"/>
      <c r="J72" s="15"/>
      <c r="K72" s="49"/>
    </row>
    <row r="73" spans="2:11" ht="22.5" customHeight="1" x14ac:dyDescent="0.3">
      <c r="B73" s="42"/>
      <c r="C73" s="2" t="s">
        <v>18</v>
      </c>
      <c r="D73" s="7"/>
      <c r="E73" s="51"/>
      <c r="F73" s="52"/>
      <c r="G73" s="17"/>
      <c r="H73" s="51"/>
      <c r="I73" s="52"/>
      <c r="J73" s="16"/>
      <c r="K73" s="49"/>
    </row>
    <row r="74" spans="2:11" ht="22.5" customHeight="1" x14ac:dyDescent="0.3">
      <c r="B74" s="42"/>
      <c r="C74" s="1" t="s">
        <v>3</v>
      </c>
      <c r="D74" s="8" t="str">
        <f>IF(VLOOKUP(G74,$C$16:$E$47,2,FALSE)="","",VLOOKUP(G74,$C$16:$E$47,2,FALSE))</f>
        <v/>
      </c>
      <c r="E74" s="46" t="str">
        <f>IF(VLOOKUP(G74,$C$16:$E$47,3,FALSE)="","",VLOOKUP(G74,$C$16:$E$47,3,FALSE))</f>
        <v/>
      </c>
      <c r="F74" s="47"/>
      <c r="G74" s="13"/>
      <c r="H74" s="46" t="str">
        <f t="shared" si="15"/>
        <v/>
      </c>
      <c r="I74" s="47"/>
      <c r="J74" s="15"/>
      <c r="K74" s="49"/>
    </row>
    <row r="75" spans="2:11" ht="22.5" customHeight="1" x14ac:dyDescent="0.3">
      <c r="B75" s="42"/>
      <c r="C75" s="1" t="s">
        <v>4</v>
      </c>
      <c r="D75" s="8" t="str">
        <f t="shared" ref="D75:D78" si="16">IF(VLOOKUP(G75,$C$16:$E$47,2,FALSE)="","",VLOOKUP(G75,$C$16:$E$47,2,FALSE))</f>
        <v/>
      </c>
      <c r="E75" s="46" t="str">
        <f t="shared" ref="E75:E78" si="17">IF(VLOOKUP(G75,$C$16:$E$47,3,FALSE)="","",VLOOKUP(G75,$C$16:$E$47,3,FALSE))</f>
        <v/>
      </c>
      <c r="F75" s="47"/>
      <c r="G75" s="13"/>
      <c r="H75" s="46" t="str">
        <f t="shared" si="15"/>
        <v/>
      </c>
      <c r="I75" s="47"/>
      <c r="J75" s="15"/>
      <c r="K75" s="49"/>
    </row>
    <row r="76" spans="2:11" ht="22.5" customHeight="1" x14ac:dyDescent="0.3">
      <c r="B76" s="42"/>
      <c r="C76" s="1" t="s">
        <v>5</v>
      </c>
      <c r="D76" s="8" t="str">
        <f t="shared" si="16"/>
        <v/>
      </c>
      <c r="E76" s="46" t="str">
        <f t="shared" si="17"/>
        <v/>
      </c>
      <c r="F76" s="47"/>
      <c r="G76" s="13"/>
      <c r="H76" s="46" t="str">
        <f t="shared" si="15"/>
        <v/>
      </c>
      <c r="I76" s="47"/>
      <c r="J76" s="15"/>
      <c r="K76" s="49"/>
    </row>
    <row r="77" spans="2:11" ht="22.5" customHeight="1" x14ac:dyDescent="0.3">
      <c r="B77" s="42"/>
      <c r="C77" s="1" t="s">
        <v>6</v>
      </c>
      <c r="D77" s="8" t="str">
        <f t="shared" si="16"/>
        <v/>
      </c>
      <c r="E77" s="46" t="str">
        <f t="shared" si="17"/>
        <v/>
      </c>
      <c r="F77" s="47"/>
      <c r="G77" s="13"/>
      <c r="H77" s="46" t="str">
        <f t="shared" si="15"/>
        <v/>
      </c>
      <c r="I77" s="47"/>
      <c r="J77" s="15"/>
      <c r="K77" s="49"/>
    </row>
    <row r="78" spans="2:11" ht="22.5" customHeight="1" x14ac:dyDescent="0.3">
      <c r="B78" s="43"/>
      <c r="C78" s="1" t="s">
        <v>7</v>
      </c>
      <c r="D78" s="8" t="str">
        <f t="shared" si="16"/>
        <v/>
      </c>
      <c r="E78" s="46" t="str">
        <f t="shared" si="17"/>
        <v/>
      </c>
      <c r="F78" s="47"/>
      <c r="G78" s="13"/>
      <c r="H78" s="46" t="str">
        <f t="shared" si="15"/>
        <v/>
      </c>
      <c r="I78" s="47"/>
      <c r="J78" s="15"/>
      <c r="K78" s="50"/>
    </row>
    <row r="79" spans="2:11" ht="22.5" customHeight="1" x14ac:dyDescent="0.3">
      <c r="B79" s="41" t="s">
        <v>19</v>
      </c>
      <c r="C79" s="5" t="s">
        <v>8</v>
      </c>
      <c r="D79" s="5" t="s">
        <v>10</v>
      </c>
      <c r="E79" s="44" t="s">
        <v>13</v>
      </c>
      <c r="F79" s="45"/>
      <c r="G79" s="12" t="s">
        <v>11</v>
      </c>
      <c r="H79" s="44" t="s">
        <v>12</v>
      </c>
      <c r="I79" s="45"/>
      <c r="J79" s="12" t="s">
        <v>14</v>
      </c>
      <c r="K79" s="12" t="s">
        <v>34</v>
      </c>
    </row>
    <row r="80" spans="2:11" ht="22.5" customHeight="1" x14ac:dyDescent="0.3">
      <c r="B80" s="42"/>
      <c r="C80" s="1" t="s">
        <v>0</v>
      </c>
      <c r="D80" s="8" t="str">
        <f>IF(VLOOKUP(G80,$C$16:$E$47,2,FALSE)="","",VLOOKUP(G80,$C$16:$E$47,2,FALSE))</f>
        <v/>
      </c>
      <c r="E80" s="46" t="str">
        <f>IF(VLOOKUP(G80,$C$16:$E$47,3,FALSE)="","",VLOOKUP(G80,$C$16:$E$47,3,FALSE))</f>
        <v/>
      </c>
      <c r="F80" s="47"/>
      <c r="G80" s="13"/>
      <c r="H80" s="46" t="str">
        <f>IFERROR(VLOOKUP(G80,$G$16:$H$47,2,FALSE),"")</f>
        <v/>
      </c>
      <c r="I80" s="47"/>
      <c r="J80" s="15"/>
      <c r="K80" s="48"/>
    </row>
    <row r="81" spans="2:11" ht="22.5" customHeight="1" x14ac:dyDescent="0.3">
      <c r="B81" s="42"/>
      <c r="C81" s="1" t="s">
        <v>1</v>
      </c>
      <c r="D81" s="8" t="str">
        <f t="shared" ref="D81:D82" si="18">IF(VLOOKUP(G81,$C$16:$E$47,2,FALSE)="","",VLOOKUP(G81,$C$16:$E$47,2,FALSE))</f>
        <v/>
      </c>
      <c r="E81" s="46" t="str">
        <f t="shared" ref="E81:E82" si="19">IF(VLOOKUP(G81,$C$16:$E$47,3,FALSE)="","",VLOOKUP(G81,$C$16:$E$47,3,FALSE))</f>
        <v/>
      </c>
      <c r="F81" s="47"/>
      <c r="G81" s="13"/>
      <c r="H81" s="46" t="str">
        <f t="shared" ref="H81:H88" si="20">IFERROR(VLOOKUP(G81,$G$16:$H$47,2,FALSE),"")</f>
        <v/>
      </c>
      <c r="I81" s="47"/>
      <c r="J81" s="15"/>
      <c r="K81" s="49"/>
    </row>
    <row r="82" spans="2:11" ht="22.5" customHeight="1" x14ac:dyDescent="0.3">
      <c r="B82" s="42"/>
      <c r="C82" s="1" t="s">
        <v>2</v>
      </c>
      <c r="D82" s="8" t="str">
        <f t="shared" si="18"/>
        <v/>
      </c>
      <c r="E82" s="46" t="str">
        <f t="shared" si="19"/>
        <v/>
      </c>
      <c r="F82" s="47"/>
      <c r="G82" s="13"/>
      <c r="H82" s="46" t="str">
        <f t="shared" si="20"/>
        <v/>
      </c>
      <c r="I82" s="47"/>
      <c r="J82" s="15"/>
      <c r="K82" s="49"/>
    </row>
    <row r="83" spans="2:11" ht="22.5" customHeight="1" x14ac:dyDescent="0.3">
      <c r="B83" s="42"/>
      <c r="C83" s="2" t="s">
        <v>18</v>
      </c>
      <c r="D83" s="7"/>
      <c r="E83" s="51"/>
      <c r="F83" s="52"/>
      <c r="G83" s="17"/>
      <c r="H83" s="51"/>
      <c r="I83" s="52"/>
      <c r="J83" s="16"/>
      <c r="K83" s="49"/>
    </row>
    <row r="84" spans="2:11" ht="22.5" customHeight="1" x14ac:dyDescent="0.3">
      <c r="B84" s="42"/>
      <c r="C84" s="1" t="s">
        <v>3</v>
      </c>
      <c r="D84" s="8" t="str">
        <f>IF(VLOOKUP(G84,$C$16:$E$47,2,FALSE)="","",VLOOKUP(G84,$C$16:$E$47,2,FALSE))</f>
        <v/>
      </c>
      <c r="E84" s="46" t="str">
        <f>IF(VLOOKUP(G84,$C$16:$E$47,3,FALSE)="","",VLOOKUP(G84,$C$16:$E$47,3,FALSE))</f>
        <v/>
      </c>
      <c r="F84" s="47"/>
      <c r="G84" s="13"/>
      <c r="H84" s="46" t="str">
        <f t="shared" si="20"/>
        <v/>
      </c>
      <c r="I84" s="47"/>
      <c r="J84" s="15"/>
      <c r="K84" s="49"/>
    </row>
    <row r="85" spans="2:11" ht="22.5" customHeight="1" x14ac:dyDescent="0.3">
      <c r="B85" s="42"/>
      <c r="C85" s="1" t="s">
        <v>4</v>
      </c>
      <c r="D85" s="8" t="str">
        <f t="shared" ref="D85:D88" si="21">IF(VLOOKUP(G85,$C$16:$E$47,2,FALSE)="","",VLOOKUP(G85,$C$16:$E$47,2,FALSE))</f>
        <v/>
      </c>
      <c r="E85" s="46" t="str">
        <f t="shared" ref="E85:E88" si="22">IF(VLOOKUP(G85,$C$16:$E$47,3,FALSE)="","",VLOOKUP(G85,$C$16:$E$47,3,FALSE))</f>
        <v/>
      </c>
      <c r="F85" s="47"/>
      <c r="G85" s="13"/>
      <c r="H85" s="46" t="str">
        <f t="shared" si="20"/>
        <v/>
      </c>
      <c r="I85" s="47"/>
      <c r="J85" s="15"/>
      <c r="K85" s="49"/>
    </row>
    <row r="86" spans="2:11" ht="22.5" customHeight="1" x14ac:dyDescent="0.3">
      <c r="B86" s="42"/>
      <c r="C86" s="1" t="s">
        <v>5</v>
      </c>
      <c r="D86" s="8" t="str">
        <f t="shared" si="21"/>
        <v/>
      </c>
      <c r="E86" s="46" t="str">
        <f t="shared" si="22"/>
        <v/>
      </c>
      <c r="F86" s="47"/>
      <c r="G86" s="13"/>
      <c r="H86" s="46" t="str">
        <f t="shared" si="20"/>
        <v/>
      </c>
      <c r="I86" s="47"/>
      <c r="J86" s="15"/>
      <c r="K86" s="49"/>
    </row>
    <row r="87" spans="2:11" ht="22.5" customHeight="1" x14ac:dyDescent="0.3">
      <c r="B87" s="42"/>
      <c r="C87" s="1" t="s">
        <v>6</v>
      </c>
      <c r="D87" s="8" t="str">
        <f t="shared" si="21"/>
        <v/>
      </c>
      <c r="E87" s="46" t="str">
        <f t="shared" si="22"/>
        <v/>
      </c>
      <c r="F87" s="47"/>
      <c r="G87" s="13"/>
      <c r="H87" s="46" t="str">
        <f t="shared" si="20"/>
        <v/>
      </c>
      <c r="I87" s="47"/>
      <c r="J87" s="15"/>
      <c r="K87" s="49"/>
    </row>
    <row r="88" spans="2:11" ht="22.5" customHeight="1" x14ac:dyDescent="0.3">
      <c r="B88" s="43"/>
      <c r="C88" s="1" t="s">
        <v>7</v>
      </c>
      <c r="D88" s="8" t="str">
        <f t="shared" si="21"/>
        <v/>
      </c>
      <c r="E88" s="46" t="str">
        <f t="shared" si="22"/>
        <v/>
      </c>
      <c r="F88" s="47"/>
      <c r="G88" s="13"/>
      <c r="H88" s="46" t="str">
        <f t="shared" si="20"/>
        <v/>
      </c>
      <c r="I88" s="47"/>
      <c r="J88" s="15"/>
      <c r="K88" s="50"/>
    </row>
    <row r="89" spans="2:11" ht="22.5" customHeight="1" x14ac:dyDescent="0.3">
      <c r="B89" s="41" t="s">
        <v>20</v>
      </c>
      <c r="C89" s="5" t="s">
        <v>8</v>
      </c>
      <c r="D89" s="5" t="s">
        <v>10</v>
      </c>
      <c r="E89" s="44" t="s">
        <v>13</v>
      </c>
      <c r="F89" s="45"/>
      <c r="G89" s="12" t="s">
        <v>11</v>
      </c>
      <c r="H89" s="44" t="s">
        <v>12</v>
      </c>
      <c r="I89" s="45"/>
      <c r="J89" s="12" t="s">
        <v>14</v>
      </c>
      <c r="K89" s="12" t="s">
        <v>35</v>
      </c>
    </row>
    <row r="90" spans="2:11" ht="22.5" customHeight="1" x14ac:dyDescent="0.3">
      <c r="B90" s="42"/>
      <c r="C90" s="1" t="s">
        <v>0</v>
      </c>
      <c r="D90" s="8" t="str">
        <f>IF(VLOOKUP(G90,$C$16:$E$47,2,FALSE)="","",VLOOKUP(G90,$C$16:$E$47,2,FALSE))</f>
        <v/>
      </c>
      <c r="E90" s="46" t="str">
        <f>IF(VLOOKUP(G90,$C$16:$E$47,3,FALSE)="","",VLOOKUP(G90,$C$16:$E$47,3,FALSE))</f>
        <v/>
      </c>
      <c r="F90" s="47"/>
      <c r="G90" s="13"/>
      <c r="H90" s="46" t="str">
        <f>IFERROR(VLOOKUP(G90,$G$16:$H$47,2,FALSE),"")</f>
        <v/>
      </c>
      <c r="I90" s="47"/>
      <c r="J90" s="15"/>
      <c r="K90" s="48"/>
    </row>
    <row r="91" spans="2:11" ht="22.5" customHeight="1" x14ac:dyDescent="0.3">
      <c r="B91" s="42"/>
      <c r="C91" s="1" t="s">
        <v>1</v>
      </c>
      <c r="D91" s="8" t="str">
        <f t="shared" ref="D91:D92" si="23">IF(VLOOKUP(G91,$C$16:$E$47,2,FALSE)="","",VLOOKUP(G91,$C$16:$E$47,2,FALSE))</f>
        <v/>
      </c>
      <c r="E91" s="46" t="str">
        <f t="shared" ref="E91:E92" si="24">IF(VLOOKUP(G91,$C$16:$E$47,3,FALSE)="","",VLOOKUP(G91,$C$16:$E$47,3,FALSE))</f>
        <v/>
      </c>
      <c r="F91" s="47"/>
      <c r="G91" s="13"/>
      <c r="H91" s="46" t="str">
        <f t="shared" ref="H91:H98" si="25">IFERROR(VLOOKUP(G91,$G$16:$H$47,2,FALSE),"")</f>
        <v/>
      </c>
      <c r="I91" s="47"/>
      <c r="J91" s="15"/>
      <c r="K91" s="49"/>
    </row>
    <row r="92" spans="2:11" ht="22.5" customHeight="1" x14ac:dyDescent="0.3">
      <c r="B92" s="42"/>
      <c r="C92" s="1" t="s">
        <v>2</v>
      </c>
      <c r="D92" s="8" t="str">
        <f t="shared" si="23"/>
        <v/>
      </c>
      <c r="E92" s="46" t="str">
        <f t="shared" si="24"/>
        <v/>
      </c>
      <c r="F92" s="47"/>
      <c r="G92" s="13"/>
      <c r="H92" s="46" t="str">
        <f t="shared" si="25"/>
        <v/>
      </c>
      <c r="I92" s="47"/>
      <c r="J92" s="15"/>
      <c r="K92" s="49"/>
    </row>
    <row r="93" spans="2:11" ht="22.5" customHeight="1" x14ac:dyDescent="0.3">
      <c r="B93" s="42"/>
      <c r="C93" s="2" t="s">
        <v>18</v>
      </c>
      <c r="D93" s="7"/>
      <c r="E93" s="51"/>
      <c r="F93" s="52"/>
      <c r="G93" s="17"/>
      <c r="H93" s="51"/>
      <c r="I93" s="52"/>
      <c r="J93" s="16"/>
      <c r="K93" s="49"/>
    </row>
    <row r="94" spans="2:11" ht="22.5" customHeight="1" x14ac:dyDescent="0.3">
      <c r="B94" s="42"/>
      <c r="C94" s="1" t="s">
        <v>3</v>
      </c>
      <c r="D94" s="8" t="str">
        <f>IF(VLOOKUP(G94,$C$16:$E$47,2,FALSE)="","",VLOOKUP(G94,$C$16:$E$47,2,FALSE))</f>
        <v/>
      </c>
      <c r="E94" s="46" t="str">
        <f>IF(VLOOKUP(G94,$C$16:$E$47,3,FALSE)="","",VLOOKUP(G94,$C$16:$E$47,3,FALSE))</f>
        <v/>
      </c>
      <c r="F94" s="47"/>
      <c r="G94" s="13"/>
      <c r="H94" s="46" t="str">
        <f t="shared" si="25"/>
        <v/>
      </c>
      <c r="I94" s="47"/>
      <c r="J94" s="15"/>
      <c r="K94" s="49"/>
    </row>
    <row r="95" spans="2:11" ht="22.5" customHeight="1" x14ac:dyDescent="0.3">
      <c r="B95" s="42"/>
      <c r="C95" s="1" t="s">
        <v>4</v>
      </c>
      <c r="D95" s="8" t="str">
        <f t="shared" ref="D95:D98" si="26">IF(VLOOKUP(G95,$C$16:$E$47,2,FALSE)="","",VLOOKUP(G95,$C$16:$E$47,2,FALSE))</f>
        <v/>
      </c>
      <c r="E95" s="46" t="str">
        <f t="shared" ref="E95:E98" si="27">IF(VLOOKUP(G95,$C$16:$E$47,3,FALSE)="","",VLOOKUP(G95,$C$16:$E$47,3,FALSE))</f>
        <v/>
      </c>
      <c r="F95" s="47"/>
      <c r="G95" s="13"/>
      <c r="H95" s="46" t="str">
        <f t="shared" si="25"/>
        <v/>
      </c>
      <c r="I95" s="47"/>
      <c r="J95" s="15"/>
      <c r="K95" s="49"/>
    </row>
    <row r="96" spans="2:11" ht="22.5" customHeight="1" x14ac:dyDescent="0.3">
      <c r="B96" s="42"/>
      <c r="C96" s="1" t="s">
        <v>5</v>
      </c>
      <c r="D96" s="8" t="str">
        <f t="shared" si="26"/>
        <v/>
      </c>
      <c r="E96" s="46" t="str">
        <f t="shared" si="27"/>
        <v/>
      </c>
      <c r="F96" s="47"/>
      <c r="G96" s="13"/>
      <c r="H96" s="46" t="str">
        <f t="shared" si="25"/>
        <v/>
      </c>
      <c r="I96" s="47"/>
      <c r="J96" s="15"/>
      <c r="K96" s="49"/>
    </row>
    <row r="97" spans="2:11" ht="22.5" customHeight="1" x14ac:dyDescent="0.3">
      <c r="B97" s="42"/>
      <c r="C97" s="1" t="s">
        <v>6</v>
      </c>
      <c r="D97" s="8" t="str">
        <f t="shared" si="26"/>
        <v/>
      </c>
      <c r="E97" s="46" t="str">
        <f t="shared" si="27"/>
        <v/>
      </c>
      <c r="F97" s="47"/>
      <c r="G97" s="13"/>
      <c r="H97" s="46" t="str">
        <f t="shared" si="25"/>
        <v/>
      </c>
      <c r="I97" s="47"/>
      <c r="J97" s="15"/>
      <c r="K97" s="49"/>
    </row>
    <row r="98" spans="2:11" ht="22.5" customHeight="1" x14ac:dyDescent="0.3">
      <c r="B98" s="43"/>
      <c r="C98" s="1" t="s">
        <v>7</v>
      </c>
      <c r="D98" s="8" t="str">
        <f t="shared" si="26"/>
        <v/>
      </c>
      <c r="E98" s="46" t="str">
        <f t="shared" si="27"/>
        <v/>
      </c>
      <c r="F98" s="47"/>
      <c r="G98" s="13"/>
      <c r="H98" s="46" t="str">
        <f t="shared" si="25"/>
        <v/>
      </c>
      <c r="I98" s="47"/>
      <c r="J98" s="15"/>
      <c r="K98" s="50"/>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J7:K7"/>
    <mergeCell ref="J8:K8"/>
    <mergeCell ref="J9:K9"/>
    <mergeCell ref="J10:K10"/>
    <mergeCell ref="J11:K11"/>
    <mergeCell ref="J12:K12"/>
    <mergeCell ref="J1:K1"/>
    <mergeCell ref="J2:K2"/>
    <mergeCell ref="J3:K3"/>
    <mergeCell ref="J4:K4"/>
    <mergeCell ref="J5:K5"/>
    <mergeCell ref="J6:K6"/>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K70:K78"/>
    <mergeCell ref="E71:F71"/>
    <mergeCell ref="H71:I71"/>
    <mergeCell ref="E72:F72"/>
    <mergeCell ref="H72:I72"/>
    <mergeCell ref="E73:F73"/>
    <mergeCell ref="H73:I73"/>
    <mergeCell ref="E74:F74"/>
    <mergeCell ref="H74:I74"/>
    <mergeCell ref="E75:F75"/>
    <mergeCell ref="B69:B78"/>
    <mergeCell ref="E69:F69"/>
    <mergeCell ref="H69:I69"/>
    <mergeCell ref="E70:F70"/>
    <mergeCell ref="H70:I70"/>
    <mergeCell ref="H75:I75"/>
    <mergeCell ref="E76:F76"/>
    <mergeCell ref="H76:I76"/>
    <mergeCell ref="E77:F77"/>
    <mergeCell ref="H77:I77"/>
    <mergeCell ref="E78:F78"/>
    <mergeCell ref="H78:I7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K50:K58"/>
    <mergeCell ref="E51:F51"/>
    <mergeCell ref="H51:I51"/>
    <mergeCell ref="E52:F52"/>
    <mergeCell ref="H52:I52"/>
    <mergeCell ref="E53:F53"/>
    <mergeCell ref="H53:I53"/>
    <mergeCell ref="E54:F54"/>
    <mergeCell ref="H54:I54"/>
    <mergeCell ref="E55:F55"/>
    <mergeCell ref="H57:I57"/>
    <mergeCell ref="E58:F58"/>
    <mergeCell ref="H58:I58"/>
    <mergeCell ref="C12:I12"/>
    <mergeCell ref="B49:B58"/>
    <mergeCell ref="E49:F49"/>
    <mergeCell ref="H49:I49"/>
    <mergeCell ref="E50:F50"/>
    <mergeCell ref="H50:I50"/>
    <mergeCell ref="H55:I55"/>
    <mergeCell ref="E56:F56"/>
    <mergeCell ref="H56:I56"/>
    <mergeCell ref="E57:F57"/>
    <mergeCell ref="B7:B9"/>
    <mergeCell ref="C7:I7"/>
    <mergeCell ref="C8:I8"/>
    <mergeCell ref="C9:I9"/>
    <mergeCell ref="C10:I10"/>
    <mergeCell ref="C11:I11"/>
    <mergeCell ref="C1:I1"/>
    <mergeCell ref="C2:I2"/>
    <mergeCell ref="C3:I3"/>
    <mergeCell ref="C4:I4"/>
    <mergeCell ref="C5:I5"/>
    <mergeCell ref="C6:I6"/>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66"/>
      <c r="D1" s="66"/>
      <c r="E1" s="66"/>
      <c r="F1" s="66"/>
      <c r="G1" s="66"/>
      <c r="H1" s="66"/>
      <c r="I1" s="66"/>
    </row>
    <row r="2" spans="2:9" ht="21.75" customHeight="1" x14ac:dyDescent="0.3">
      <c r="B2" s="4" t="s">
        <v>21</v>
      </c>
      <c r="C2" s="66"/>
      <c r="D2" s="66"/>
      <c r="E2" s="66"/>
      <c r="F2" s="66"/>
      <c r="G2" s="66"/>
      <c r="H2" s="66"/>
      <c r="I2" s="66"/>
    </row>
    <row r="3" spans="2:9" ht="21.75" customHeight="1" x14ac:dyDescent="0.3">
      <c r="B3" s="4" t="s">
        <v>24</v>
      </c>
      <c r="C3" s="66"/>
      <c r="D3" s="66"/>
      <c r="E3" s="66"/>
      <c r="F3" s="66"/>
      <c r="G3" s="66"/>
      <c r="H3" s="66"/>
      <c r="I3" s="66"/>
    </row>
    <row r="4" spans="2:9" ht="47.25" customHeight="1" x14ac:dyDescent="0.3">
      <c r="B4" s="4" t="s">
        <v>22</v>
      </c>
      <c r="C4" s="66"/>
      <c r="D4" s="66"/>
      <c r="E4" s="66"/>
      <c r="F4" s="66"/>
      <c r="G4" s="66"/>
      <c r="H4" s="66"/>
      <c r="I4" s="66"/>
    </row>
    <row r="5" spans="2:9" ht="28.5" customHeight="1" x14ac:dyDescent="0.3">
      <c r="B5" s="4" t="s">
        <v>25</v>
      </c>
      <c r="C5" s="66"/>
      <c r="D5" s="66"/>
      <c r="E5" s="66"/>
      <c r="F5" s="66"/>
      <c r="G5" s="66"/>
      <c r="H5" s="66"/>
      <c r="I5" s="66"/>
    </row>
    <row r="6" spans="2:9" ht="47.25" customHeight="1" x14ac:dyDescent="0.3">
      <c r="B6" s="4" t="s">
        <v>27</v>
      </c>
      <c r="C6" s="66"/>
      <c r="D6" s="66"/>
      <c r="E6" s="66"/>
      <c r="F6" s="66"/>
      <c r="G6" s="66"/>
      <c r="H6" s="66"/>
      <c r="I6" s="66"/>
    </row>
    <row r="7" spans="2:9" ht="47.25" customHeight="1" x14ac:dyDescent="0.3">
      <c r="B7" s="58" t="s">
        <v>28</v>
      </c>
      <c r="C7" s="66"/>
      <c r="D7" s="66"/>
      <c r="E7" s="66"/>
      <c r="F7" s="66"/>
      <c r="G7" s="66"/>
      <c r="H7" s="66"/>
      <c r="I7" s="66"/>
    </row>
    <row r="8" spans="2:9" ht="47.25" customHeight="1" x14ac:dyDescent="0.3">
      <c r="B8" s="58"/>
      <c r="C8" s="66"/>
      <c r="D8" s="66"/>
      <c r="E8" s="66"/>
      <c r="F8" s="66"/>
      <c r="G8" s="66"/>
      <c r="H8" s="66"/>
      <c r="I8" s="66"/>
    </row>
    <row r="9" spans="2:9" ht="47.25" customHeight="1" x14ac:dyDescent="0.3">
      <c r="B9" s="58"/>
      <c r="C9" s="66"/>
      <c r="D9" s="66"/>
      <c r="E9" s="66"/>
      <c r="F9" s="66"/>
      <c r="G9" s="66"/>
      <c r="H9" s="66"/>
      <c r="I9" s="66"/>
    </row>
    <row r="10" spans="2:9" ht="47.25" customHeight="1" x14ac:dyDescent="0.3">
      <c r="B10" s="6" t="s">
        <v>29</v>
      </c>
      <c r="C10" s="66"/>
      <c r="D10" s="66"/>
      <c r="E10" s="66"/>
      <c r="F10" s="66"/>
      <c r="G10" s="66"/>
      <c r="H10" s="66"/>
      <c r="I10" s="66"/>
    </row>
    <row r="11" spans="2:9" ht="47.25" customHeight="1" x14ac:dyDescent="0.3">
      <c r="B11" s="6" t="s">
        <v>30</v>
      </c>
      <c r="C11" s="66"/>
      <c r="D11" s="66"/>
      <c r="E11" s="66"/>
      <c r="F11" s="66"/>
      <c r="G11" s="66"/>
      <c r="H11" s="66"/>
      <c r="I11" s="66"/>
    </row>
    <row r="12" spans="2:9" ht="26.25" customHeight="1" x14ac:dyDescent="0.3">
      <c r="B12" s="4" t="s">
        <v>26</v>
      </c>
      <c r="C12" s="66"/>
      <c r="D12" s="66"/>
      <c r="E12" s="66"/>
      <c r="F12" s="66"/>
      <c r="G12" s="66"/>
      <c r="H12" s="66"/>
      <c r="I12" s="66"/>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41" t="s">
        <v>9</v>
      </c>
      <c r="C43" s="5" t="s">
        <v>8</v>
      </c>
      <c r="D43" s="5" t="s">
        <v>10</v>
      </c>
      <c r="E43" s="44" t="s">
        <v>13</v>
      </c>
      <c r="F43" s="45"/>
      <c r="G43" s="5" t="s">
        <v>11</v>
      </c>
      <c r="H43" s="44" t="s">
        <v>12</v>
      </c>
      <c r="I43" s="45"/>
      <c r="J43" s="5" t="s">
        <v>14</v>
      </c>
      <c r="K43" s="5" t="s">
        <v>31</v>
      </c>
    </row>
    <row r="44" spans="2:11" ht="22.5" customHeight="1" x14ac:dyDescent="0.3">
      <c r="B44" s="42"/>
      <c r="C44" s="1" t="s">
        <v>0</v>
      </c>
      <c r="D44" s="1"/>
      <c r="E44" s="64"/>
      <c r="F44" s="65"/>
      <c r="G44" s="1"/>
      <c r="H44" s="64"/>
      <c r="I44" s="65"/>
      <c r="J44" s="1"/>
      <c r="K44" s="67"/>
    </row>
    <row r="45" spans="2:11" ht="22.5" customHeight="1" x14ac:dyDescent="0.3">
      <c r="B45" s="42"/>
      <c r="C45" s="1" t="s">
        <v>1</v>
      </c>
      <c r="D45" s="1"/>
      <c r="E45" s="64"/>
      <c r="F45" s="65"/>
      <c r="G45" s="1"/>
      <c r="H45" s="64"/>
      <c r="I45" s="65"/>
      <c r="J45" s="1"/>
      <c r="K45" s="68"/>
    </row>
    <row r="46" spans="2:11" ht="22.5" customHeight="1" x14ac:dyDescent="0.3">
      <c r="B46" s="42"/>
      <c r="C46" s="1" t="s">
        <v>2</v>
      </c>
      <c r="D46" s="1"/>
      <c r="E46" s="64"/>
      <c r="F46" s="65"/>
      <c r="G46" s="1"/>
      <c r="H46" s="64"/>
      <c r="I46" s="65"/>
      <c r="J46" s="1"/>
      <c r="K46" s="68"/>
    </row>
    <row r="47" spans="2:11" ht="22.5" customHeight="1" x14ac:dyDescent="0.3">
      <c r="B47" s="42"/>
      <c r="C47" s="2" t="s">
        <v>18</v>
      </c>
      <c r="D47" s="3"/>
      <c r="E47" s="51"/>
      <c r="F47" s="52"/>
      <c r="G47" s="2"/>
      <c r="H47" s="51"/>
      <c r="I47" s="52"/>
      <c r="J47" s="2"/>
      <c r="K47" s="68"/>
    </row>
    <row r="48" spans="2:11" ht="22.5" customHeight="1" x14ac:dyDescent="0.3">
      <c r="B48" s="42"/>
      <c r="C48" s="1" t="s">
        <v>3</v>
      </c>
      <c r="D48" s="1"/>
      <c r="E48" s="64"/>
      <c r="F48" s="65"/>
      <c r="G48" s="1"/>
      <c r="H48" s="64"/>
      <c r="I48" s="65"/>
      <c r="J48" s="1"/>
      <c r="K48" s="68"/>
    </row>
    <row r="49" spans="2:11" ht="22.5" customHeight="1" x14ac:dyDescent="0.3">
      <c r="B49" s="42"/>
      <c r="C49" s="1" t="s">
        <v>4</v>
      </c>
      <c r="D49" s="1"/>
      <c r="E49" s="64"/>
      <c r="F49" s="65"/>
      <c r="G49" s="1"/>
      <c r="H49" s="64"/>
      <c r="I49" s="65"/>
      <c r="J49" s="1"/>
      <c r="K49" s="68"/>
    </row>
    <row r="50" spans="2:11" ht="22.5" customHeight="1" x14ac:dyDescent="0.3">
      <c r="B50" s="42"/>
      <c r="C50" s="1" t="s">
        <v>5</v>
      </c>
      <c r="D50" s="1"/>
      <c r="E50" s="64"/>
      <c r="F50" s="65"/>
      <c r="G50" s="1"/>
      <c r="H50" s="64"/>
      <c r="I50" s="65"/>
      <c r="J50" s="1"/>
      <c r="K50" s="68"/>
    </row>
    <row r="51" spans="2:11" ht="22.5" customHeight="1" x14ac:dyDescent="0.3">
      <c r="B51" s="42"/>
      <c r="C51" s="1" t="s">
        <v>6</v>
      </c>
      <c r="D51" s="1"/>
      <c r="E51" s="64"/>
      <c r="F51" s="65"/>
      <c r="G51" s="1"/>
      <c r="H51" s="64"/>
      <c r="I51" s="65"/>
      <c r="J51" s="1"/>
      <c r="K51" s="68"/>
    </row>
    <row r="52" spans="2:11" ht="22.5" customHeight="1" x14ac:dyDescent="0.3">
      <c r="B52" s="43"/>
      <c r="C52" s="1" t="s">
        <v>7</v>
      </c>
      <c r="D52" s="1"/>
      <c r="E52" s="64"/>
      <c r="F52" s="65"/>
      <c r="G52" s="1"/>
      <c r="H52" s="64"/>
      <c r="I52" s="65"/>
      <c r="J52" s="1"/>
      <c r="K52" s="69"/>
    </row>
    <row r="53" spans="2:11" ht="22.5" customHeight="1" x14ac:dyDescent="0.3">
      <c r="B53" s="41" t="s">
        <v>16</v>
      </c>
      <c r="C53" s="5" t="s">
        <v>8</v>
      </c>
      <c r="D53" s="5" t="s">
        <v>10</v>
      </c>
      <c r="E53" s="44" t="s">
        <v>13</v>
      </c>
      <c r="F53" s="45"/>
      <c r="G53" s="5" t="s">
        <v>11</v>
      </c>
      <c r="H53" s="44" t="s">
        <v>12</v>
      </c>
      <c r="I53" s="45"/>
      <c r="J53" s="5" t="s">
        <v>14</v>
      </c>
      <c r="K53" s="5" t="s">
        <v>32</v>
      </c>
    </row>
    <row r="54" spans="2:11" ht="22.5" customHeight="1" x14ac:dyDescent="0.3">
      <c r="B54" s="42"/>
      <c r="C54" s="1" t="s">
        <v>0</v>
      </c>
      <c r="D54" s="1"/>
      <c r="E54" s="64"/>
      <c r="F54" s="65"/>
      <c r="G54" s="1"/>
      <c r="H54" s="64"/>
      <c r="I54" s="65"/>
      <c r="J54" s="1"/>
      <c r="K54" s="67"/>
    </row>
    <row r="55" spans="2:11" ht="22.5" customHeight="1" x14ac:dyDescent="0.3">
      <c r="B55" s="42"/>
      <c r="C55" s="1" t="s">
        <v>1</v>
      </c>
      <c r="D55" s="1"/>
      <c r="E55" s="64"/>
      <c r="F55" s="65"/>
      <c r="G55" s="1"/>
      <c r="H55" s="64"/>
      <c r="I55" s="65"/>
      <c r="J55" s="1"/>
      <c r="K55" s="68"/>
    </row>
    <row r="56" spans="2:11" ht="22.5" customHeight="1" x14ac:dyDescent="0.3">
      <c r="B56" s="42"/>
      <c r="C56" s="1" t="s">
        <v>2</v>
      </c>
      <c r="D56" s="1"/>
      <c r="E56" s="64"/>
      <c r="F56" s="65"/>
      <c r="G56" s="1"/>
      <c r="H56" s="64"/>
      <c r="I56" s="65"/>
      <c r="J56" s="1"/>
      <c r="K56" s="68"/>
    </row>
    <row r="57" spans="2:11" ht="22.5" customHeight="1" x14ac:dyDescent="0.3">
      <c r="B57" s="42"/>
      <c r="C57" s="2" t="s">
        <v>18</v>
      </c>
      <c r="D57" s="3"/>
      <c r="E57" s="51"/>
      <c r="F57" s="52"/>
      <c r="G57" s="2"/>
      <c r="H57" s="51"/>
      <c r="I57" s="52"/>
      <c r="J57" s="2"/>
      <c r="K57" s="68"/>
    </row>
    <row r="58" spans="2:11" ht="22.5" customHeight="1" x14ac:dyDescent="0.3">
      <c r="B58" s="42"/>
      <c r="C58" s="1" t="s">
        <v>3</v>
      </c>
      <c r="D58" s="1"/>
      <c r="E58" s="64"/>
      <c r="F58" s="65"/>
      <c r="G58" s="1"/>
      <c r="H58" s="64"/>
      <c r="I58" s="65"/>
      <c r="J58" s="1"/>
      <c r="K58" s="68"/>
    </row>
    <row r="59" spans="2:11" ht="22.5" customHeight="1" x14ac:dyDescent="0.3">
      <c r="B59" s="42"/>
      <c r="C59" s="1" t="s">
        <v>4</v>
      </c>
      <c r="D59" s="1"/>
      <c r="E59" s="64"/>
      <c r="F59" s="65"/>
      <c r="G59" s="1"/>
      <c r="H59" s="64"/>
      <c r="I59" s="65"/>
      <c r="J59" s="1"/>
      <c r="K59" s="68"/>
    </row>
    <row r="60" spans="2:11" ht="22.5" customHeight="1" x14ac:dyDescent="0.3">
      <c r="B60" s="42"/>
      <c r="C60" s="1" t="s">
        <v>5</v>
      </c>
      <c r="D60" s="1"/>
      <c r="E60" s="64"/>
      <c r="F60" s="65"/>
      <c r="G60" s="1"/>
      <c r="H60" s="64"/>
      <c r="I60" s="65"/>
      <c r="J60" s="1"/>
      <c r="K60" s="68"/>
    </row>
    <row r="61" spans="2:11" ht="22.5" customHeight="1" x14ac:dyDescent="0.3">
      <c r="B61" s="42"/>
      <c r="C61" s="1" t="s">
        <v>6</v>
      </c>
      <c r="D61" s="1"/>
      <c r="E61" s="64"/>
      <c r="F61" s="65"/>
      <c r="G61" s="1"/>
      <c r="H61" s="64"/>
      <c r="I61" s="65"/>
      <c r="J61" s="1"/>
      <c r="K61" s="68"/>
    </row>
    <row r="62" spans="2:11" ht="22.5" customHeight="1" x14ac:dyDescent="0.3">
      <c r="B62" s="43"/>
      <c r="C62" s="1" t="s">
        <v>7</v>
      </c>
      <c r="D62" s="1"/>
      <c r="E62" s="64"/>
      <c r="F62" s="65"/>
      <c r="G62" s="1"/>
      <c r="H62" s="64"/>
      <c r="I62" s="65"/>
      <c r="J62" s="1"/>
      <c r="K62" s="69"/>
    </row>
    <row r="63" spans="2:11" ht="22.5" customHeight="1" x14ac:dyDescent="0.3">
      <c r="B63" s="41" t="s">
        <v>17</v>
      </c>
      <c r="C63" s="5" t="s">
        <v>8</v>
      </c>
      <c r="D63" s="5" t="s">
        <v>10</v>
      </c>
      <c r="E63" s="44" t="s">
        <v>13</v>
      </c>
      <c r="F63" s="45"/>
      <c r="G63" s="5" t="s">
        <v>11</v>
      </c>
      <c r="H63" s="44" t="s">
        <v>12</v>
      </c>
      <c r="I63" s="45"/>
      <c r="J63" s="5" t="s">
        <v>14</v>
      </c>
      <c r="K63" s="5" t="s">
        <v>33</v>
      </c>
    </row>
    <row r="64" spans="2:11" ht="22.5" customHeight="1" x14ac:dyDescent="0.3">
      <c r="B64" s="42"/>
      <c r="C64" s="1" t="s">
        <v>0</v>
      </c>
      <c r="D64" s="1"/>
      <c r="E64" s="64"/>
      <c r="F64" s="65"/>
      <c r="G64" s="1"/>
      <c r="H64" s="64"/>
      <c r="I64" s="65"/>
      <c r="J64" s="1"/>
      <c r="K64" s="67"/>
    </row>
    <row r="65" spans="2:11" ht="22.5" customHeight="1" x14ac:dyDescent="0.3">
      <c r="B65" s="42"/>
      <c r="C65" s="1" t="s">
        <v>1</v>
      </c>
      <c r="D65" s="1"/>
      <c r="E65" s="64"/>
      <c r="F65" s="65"/>
      <c r="G65" s="1"/>
      <c r="H65" s="64"/>
      <c r="I65" s="65"/>
      <c r="J65" s="1"/>
      <c r="K65" s="68"/>
    </row>
    <row r="66" spans="2:11" ht="22.5" customHeight="1" x14ac:dyDescent="0.3">
      <c r="B66" s="42"/>
      <c r="C66" s="1" t="s">
        <v>2</v>
      </c>
      <c r="D66" s="1"/>
      <c r="E66" s="64"/>
      <c r="F66" s="65"/>
      <c r="G66" s="1"/>
      <c r="H66" s="64"/>
      <c r="I66" s="65"/>
      <c r="J66" s="1"/>
      <c r="K66" s="68"/>
    </row>
    <row r="67" spans="2:11" ht="22.5" customHeight="1" x14ac:dyDescent="0.3">
      <c r="B67" s="42"/>
      <c r="C67" s="2" t="s">
        <v>18</v>
      </c>
      <c r="D67" s="3"/>
      <c r="E67" s="51"/>
      <c r="F67" s="52"/>
      <c r="G67" s="2"/>
      <c r="H67" s="51"/>
      <c r="I67" s="52"/>
      <c r="J67" s="2"/>
      <c r="K67" s="68"/>
    </row>
    <row r="68" spans="2:11" ht="22.5" customHeight="1" x14ac:dyDescent="0.3">
      <c r="B68" s="42"/>
      <c r="C68" s="1" t="s">
        <v>3</v>
      </c>
      <c r="D68" s="1"/>
      <c r="E68" s="64"/>
      <c r="F68" s="65"/>
      <c r="G68" s="1"/>
      <c r="H68" s="64"/>
      <c r="I68" s="65"/>
      <c r="J68" s="1"/>
      <c r="K68" s="68"/>
    </row>
    <row r="69" spans="2:11" ht="22.5" customHeight="1" x14ac:dyDescent="0.3">
      <c r="B69" s="42"/>
      <c r="C69" s="1" t="s">
        <v>4</v>
      </c>
      <c r="D69" s="1"/>
      <c r="E69" s="64"/>
      <c r="F69" s="65"/>
      <c r="G69" s="1"/>
      <c r="H69" s="64"/>
      <c r="I69" s="65"/>
      <c r="J69" s="1"/>
      <c r="K69" s="68"/>
    </row>
    <row r="70" spans="2:11" ht="22.5" customHeight="1" x14ac:dyDescent="0.3">
      <c r="B70" s="42"/>
      <c r="C70" s="1" t="s">
        <v>5</v>
      </c>
      <c r="D70" s="1"/>
      <c r="E70" s="64"/>
      <c r="F70" s="65"/>
      <c r="G70" s="1"/>
      <c r="H70" s="64"/>
      <c r="I70" s="65"/>
      <c r="J70" s="1"/>
      <c r="K70" s="68"/>
    </row>
    <row r="71" spans="2:11" ht="22.5" customHeight="1" x14ac:dyDescent="0.3">
      <c r="B71" s="42"/>
      <c r="C71" s="1" t="s">
        <v>6</v>
      </c>
      <c r="D71" s="1"/>
      <c r="E71" s="64"/>
      <c r="F71" s="65"/>
      <c r="G71" s="1"/>
      <c r="H71" s="64"/>
      <c r="I71" s="65"/>
      <c r="J71" s="1"/>
      <c r="K71" s="68"/>
    </row>
    <row r="72" spans="2:11" ht="22.5" customHeight="1" x14ac:dyDescent="0.3">
      <c r="B72" s="43"/>
      <c r="C72" s="1" t="s">
        <v>7</v>
      </c>
      <c r="D72" s="1"/>
      <c r="E72" s="64"/>
      <c r="F72" s="65"/>
      <c r="G72" s="1"/>
      <c r="H72" s="64"/>
      <c r="I72" s="65"/>
      <c r="J72" s="1"/>
      <c r="K72" s="69"/>
    </row>
    <row r="73" spans="2:11" ht="22.5" customHeight="1" x14ac:dyDescent="0.3">
      <c r="B73" s="41" t="s">
        <v>19</v>
      </c>
      <c r="C73" s="5" t="s">
        <v>8</v>
      </c>
      <c r="D73" s="5" t="s">
        <v>10</v>
      </c>
      <c r="E73" s="44" t="s">
        <v>13</v>
      </c>
      <c r="F73" s="45"/>
      <c r="G73" s="5" t="s">
        <v>11</v>
      </c>
      <c r="H73" s="44" t="s">
        <v>12</v>
      </c>
      <c r="I73" s="45"/>
      <c r="J73" s="5" t="s">
        <v>14</v>
      </c>
      <c r="K73" s="5" t="s">
        <v>34</v>
      </c>
    </row>
    <row r="74" spans="2:11" ht="22.5" customHeight="1" x14ac:dyDescent="0.3">
      <c r="B74" s="42"/>
      <c r="C74" s="1" t="s">
        <v>0</v>
      </c>
      <c r="D74" s="1"/>
      <c r="E74" s="64"/>
      <c r="F74" s="65"/>
      <c r="G74" s="1"/>
      <c r="H74" s="64"/>
      <c r="I74" s="65"/>
      <c r="J74" s="1"/>
      <c r="K74" s="67"/>
    </row>
    <row r="75" spans="2:11" ht="22.5" customHeight="1" x14ac:dyDescent="0.3">
      <c r="B75" s="42"/>
      <c r="C75" s="1" t="s">
        <v>1</v>
      </c>
      <c r="D75" s="1"/>
      <c r="E75" s="64"/>
      <c r="F75" s="65"/>
      <c r="G75" s="1"/>
      <c r="H75" s="64"/>
      <c r="I75" s="65"/>
      <c r="J75" s="1"/>
      <c r="K75" s="68"/>
    </row>
    <row r="76" spans="2:11" ht="22.5" customHeight="1" x14ac:dyDescent="0.3">
      <c r="B76" s="42"/>
      <c r="C76" s="1" t="s">
        <v>2</v>
      </c>
      <c r="D76" s="1"/>
      <c r="E76" s="64"/>
      <c r="F76" s="65"/>
      <c r="G76" s="1"/>
      <c r="H76" s="64"/>
      <c r="I76" s="65"/>
      <c r="J76" s="1"/>
      <c r="K76" s="68"/>
    </row>
    <row r="77" spans="2:11" ht="22.5" customHeight="1" x14ac:dyDescent="0.3">
      <c r="B77" s="42"/>
      <c r="C77" s="2" t="s">
        <v>18</v>
      </c>
      <c r="D77" s="3"/>
      <c r="E77" s="51"/>
      <c r="F77" s="52"/>
      <c r="G77" s="2"/>
      <c r="H77" s="51"/>
      <c r="I77" s="52"/>
      <c r="J77" s="2"/>
      <c r="K77" s="68"/>
    </row>
    <row r="78" spans="2:11" ht="22.5" customHeight="1" x14ac:dyDescent="0.3">
      <c r="B78" s="42"/>
      <c r="C78" s="1" t="s">
        <v>3</v>
      </c>
      <c r="D78" s="1"/>
      <c r="E78" s="64"/>
      <c r="F78" s="65"/>
      <c r="G78" s="1"/>
      <c r="H78" s="64"/>
      <c r="I78" s="65"/>
      <c r="J78" s="1"/>
      <c r="K78" s="68"/>
    </row>
    <row r="79" spans="2:11" ht="22.5" customHeight="1" x14ac:dyDescent="0.3">
      <c r="B79" s="42"/>
      <c r="C79" s="1" t="s">
        <v>4</v>
      </c>
      <c r="D79" s="1"/>
      <c r="E79" s="64"/>
      <c r="F79" s="65"/>
      <c r="G79" s="1"/>
      <c r="H79" s="64"/>
      <c r="I79" s="65"/>
      <c r="J79" s="1"/>
      <c r="K79" s="68"/>
    </row>
    <row r="80" spans="2:11" ht="22.5" customHeight="1" x14ac:dyDescent="0.3">
      <c r="B80" s="42"/>
      <c r="C80" s="1" t="s">
        <v>5</v>
      </c>
      <c r="D80" s="1"/>
      <c r="E80" s="64"/>
      <c r="F80" s="65"/>
      <c r="G80" s="1"/>
      <c r="H80" s="64"/>
      <c r="I80" s="65"/>
      <c r="J80" s="1"/>
      <c r="K80" s="68"/>
    </row>
    <row r="81" spans="2:11" ht="22.5" customHeight="1" x14ac:dyDescent="0.3">
      <c r="B81" s="42"/>
      <c r="C81" s="1" t="s">
        <v>6</v>
      </c>
      <c r="D81" s="1"/>
      <c r="E81" s="64"/>
      <c r="F81" s="65"/>
      <c r="G81" s="1"/>
      <c r="H81" s="64"/>
      <c r="I81" s="65"/>
      <c r="J81" s="1"/>
      <c r="K81" s="68"/>
    </row>
    <row r="82" spans="2:11" ht="22.5" customHeight="1" x14ac:dyDescent="0.3">
      <c r="B82" s="43"/>
      <c r="C82" s="1" t="s">
        <v>7</v>
      </c>
      <c r="D82" s="1"/>
      <c r="E82" s="64"/>
      <c r="F82" s="65"/>
      <c r="G82" s="1"/>
      <c r="H82" s="64"/>
      <c r="I82" s="65"/>
      <c r="J82" s="1"/>
      <c r="K82" s="69"/>
    </row>
    <row r="83" spans="2:11" ht="22.5" customHeight="1" x14ac:dyDescent="0.3">
      <c r="B83" s="41" t="s">
        <v>20</v>
      </c>
      <c r="C83" s="5" t="s">
        <v>8</v>
      </c>
      <c r="D83" s="5" t="s">
        <v>10</v>
      </c>
      <c r="E83" s="44" t="s">
        <v>13</v>
      </c>
      <c r="F83" s="45"/>
      <c r="G83" s="5" t="s">
        <v>11</v>
      </c>
      <c r="H83" s="44" t="s">
        <v>12</v>
      </c>
      <c r="I83" s="45"/>
      <c r="J83" s="5" t="s">
        <v>14</v>
      </c>
      <c r="K83" s="5" t="s">
        <v>35</v>
      </c>
    </row>
    <row r="84" spans="2:11" ht="22.5" customHeight="1" x14ac:dyDescent="0.3">
      <c r="B84" s="42"/>
      <c r="C84" s="1" t="s">
        <v>0</v>
      </c>
      <c r="D84" s="1"/>
      <c r="E84" s="64"/>
      <c r="F84" s="65"/>
      <c r="G84" s="1"/>
      <c r="H84" s="64"/>
      <c r="I84" s="65"/>
      <c r="J84" s="1"/>
      <c r="K84" s="67"/>
    </row>
    <row r="85" spans="2:11" ht="22.5" customHeight="1" x14ac:dyDescent="0.3">
      <c r="B85" s="42"/>
      <c r="C85" s="1" t="s">
        <v>1</v>
      </c>
      <c r="D85" s="1"/>
      <c r="E85" s="64"/>
      <c r="F85" s="65"/>
      <c r="G85" s="1"/>
      <c r="H85" s="64"/>
      <c r="I85" s="65"/>
      <c r="J85" s="1"/>
      <c r="K85" s="68"/>
    </row>
    <row r="86" spans="2:11" ht="22.5" customHeight="1" x14ac:dyDescent="0.3">
      <c r="B86" s="42"/>
      <c r="C86" s="1" t="s">
        <v>2</v>
      </c>
      <c r="D86" s="1"/>
      <c r="E86" s="64"/>
      <c r="F86" s="65"/>
      <c r="G86" s="1"/>
      <c r="H86" s="64"/>
      <c r="I86" s="65"/>
      <c r="J86" s="1"/>
      <c r="K86" s="68"/>
    </row>
    <row r="87" spans="2:11" ht="22.5" customHeight="1" x14ac:dyDescent="0.3">
      <c r="B87" s="42"/>
      <c r="C87" s="2" t="s">
        <v>18</v>
      </c>
      <c r="D87" s="3"/>
      <c r="E87" s="51"/>
      <c r="F87" s="52"/>
      <c r="G87" s="2"/>
      <c r="H87" s="51"/>
      <c r="I87" s="52"/>
      <c r="J87" s="2"/>
      <c r="K87" s="68"/>
    </row>
    <row r="88" spans="2:11" ht="22.5" customHeight="1" x14ac:dyDescent="0.3">
      <c r="B88" s="42"/>
      <c r="C88" s="1" t="s">
        <v>3</v>
      </c>
      <c r="D88" s="1"/>
      <c r="E88" s="64"/>
      <c r="F88" s="65"/>
      <c r="G88" s="1"/>
      <c r="H88" s="64"/>
      <c r="I88" s="65"/>
      <c r="J88" s="1"/>
      <c r="K88" s="68"/>
    </row>
    <row r="89" spans="2:11" ht="22.5" customHeight="1" x14ac:dyDescent="0.3">
      <c r="B89" s="42"/>
      <c r="C89" s="1" t="s">
        <v>4</v>
      </c>
      <c r="D89" s="1"/>
      <c r="E89" s="64"/>
      <c r="F89" s="65"/>
      <c r="G89" s="1"/>
      <c r="H89" s="64"/>
      <c r="I89" s="65"/>
      <c r="J89" s="1"/>
      <c r="K89" s="68"/>
    </row>
    <row r="90" spans="2:11" ht="22.5" customHeight="1" x14ac:dyDescent="0.3">
      <c r="B90" s="42"/>
      <c r="C90" s="1" t="s">
        <v>5</v>
      </c>
      <c r="D90" s="1"/>
      <c r="E90" s="64"/>
      <c r="F90" s="65"/>
      <c r="G90" s="1"/>
      <c r="H90" s="64"/>
      <c r="I90" s="65"/>
      <c r="J90" s="1"/>
      <c r="K90" s="68"/>
    </row>
    <row r="91" spans="2:11" ht="22.5" customHeight="1" x14ac:dyDescent="0.3">
      <c r="B91" s="42"/>
      <c r="C91" s="1" t="s">
        <v>6</v>
      </c>
      <c r="D91" s="1"/>
      <c r="E91" s="64"/>
      <c r="F91" s="65"/>
      <c r="G91" s="1"/>
      <c r="H91" s="64"/>
      <c r="I91" s="65"/>
      <c r="J91" s="1"/>
      <c r="K91" s="68"/>
    </row>
    <row r="92" spans="2:11" ht="22.5" customHeight="1" x14ac:dyDescent="0.3">
      <c r="B92" s="43"/>
      <c r="C92" s="1" t="s">
        <v>7</v>
      </c>
      <c r="D92" s="1"/>
      <c r="E92" s="64"/>
      <c r="F92" s="65"/>
      <c r="G92" s="1"/>
      <c r="H92" s="64"/>
      <c r="I92" s="65"/>
      <c r="J92" s="1"/>
      <c r="K92" s="69"/>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H77:I77"/>
    <mergeCell ref="E78:F78"/>
    <mergeCell ref="H78:I78"/>
    <mergeCell ref="E72:F72"/>
    <mergeCell ref="H72:I72"/>
    <mergeCell ref="E73:F73"/>
    <mergeCell ref="E74:F74"/>
    <mergeCell ref="H74:I74"/>
    <mergeCell ref="E75:F75"/>
    <mergeCell ref="H75:I75"/>
    <mergeCell ref="E69:F69"/>
    <mergeCell ref="H69:I69"/>
    <mergeCell ref="E70:F70"/>
    <mergeCell ref="H70:I70"/>
    <mergeCell ref="E71:F71"/>
    <mergeCell ref="H71:I71"/>
    <mergeCell ref="E66:F66"/>
    <mergeCell ref="H66:I66"/>
    <mergeCell ref="E67:F67"/>
    <mergeCell ref="H67:I67"/>
    <mergeCell ref="E68:F68"/>
    <mergeCell ref="H68:I68"/>
    <mergeCell ref="E62:F62"/>
    <mergeCell ref="H62:I62"/>
    <mergeCell ref="E63:F63"/>
    <mergeCell ref="E64:F64"/>
    <mergeCell ref="H64:I64"/>
    <mergeCell ref="E65:F65"/>
    <mergeCell ref="H65:I65"/>
    <mergeCell ref="E59:F59"/>
    <mergeCell ref="H59:I59"/>
    <mergeCell ref="E60:F60"/>
    <mergeCell ref="H60:I60"/>
    <mergeCell ref="E61:F61"/>
    <mergeCell ref="H61:I61"/>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L88"/>
  <sheetViews>
    <sheetView zoomScale="85" zoomScaleNormal="85" workbookViewId="0">
      <pane xSplit="3" ySplit="1" topLeftCell="D2" activePane="bottomRight" state="frozen"/>
      <selection activeCell="B41" sqref="B41"/>
      <selection pane="topRight" activeCell="B41" sqref="B41"/>
      <selection pane="bottomLeft" activeCell="B41" sqref="B41"/>
      <selection pane="bottomRight" activeCell="H44" sqref="H44"/>
    </sheetView>
  </sheetViews>
  <sheetFormatPr defaultRowHeight="16.5" x14ac:dyDescent="0.3"/>
  <cols>
    <col min="1" max="1" width="59.5" customWidth="1"/>
    <col min="2" max="2" width="21.125" customWidth="1"/>
    <col min="3" max="3" width="18.25" customWidth="1"/>
    <col min="4" max="4" width="26.375" customWidth="1"/>
    <col min="5" max="5" width="12.25" customWidth="1"/>
    <col min="6" max="6" width="28.75" customWidth="1"/>
    <col min="7" max="7" width="6" customWidth="1"/>
    <col min="8" max="10" width="39.375" customWidth="1"/>
    <col min="11" max="11" width="19.25" customWidth="1"/>
    <col min="12" max="12" width="118.125" customWidth="1"/>
  </cols>
  <sheetData>
    <row r="1" spans="1:12" x14ac:dyDescent="0.3">
      <c r="C1" s="24" t="s">
        <v>72</v>
      </c>
      <c r="D1" s="26" t="s">
        <v>71</v>
      </c>
      <c r="E1" s="25" t="s">
        <v>70</v>
      </c>
      <c r="F1" s="25" t="s">
        <v>69</v>
      </c>
      <c r="G1" s="25"/>
      <c r="H1" s="24" t="s">
        <v>68</v>
      </c>
      <c r="I1" s="25" t="s">
        <v>80</v>
      </c>
      <c r="J1" s="25" t="s">
        <v>81</v>
      </c>
      <c r="K1" s="25" t="s">
        <v>67</v>
      </c>
      <c r="L1" s="24" t="s">
        <v>66</v>
      </c>
    </row>
    <row r="2" spans="1:12" ht="27" x14ac:dyDescent="0.3">
      <c r="C2" s="22" t="s">
        <v>65</v>
      </c>
      <c r="D2" s="23" t="s">
        <v>61</v>
      </c>
      <c r="E2" s="20" t="s">
        <v>56</v>
      </c>
      <c r="F2" s="20" t="s">
        <v>62</v>
      </c>
      <c r="G2" s="20"/>
      <c r="H2" s="19" t="s">
        <v>64</v>
      </c>
      <c r="I2" s="32"/>
      <c r="J2" s="32"/>
      <c r="K2" s="21" t="s">
        <v>61</v>
      </c>
      <c r="L2" s="19" t="s">
        <v>63</v>
      </c>
    </row>
    <row r="3" spans="1:12" x14ac:dyDescent="0.3">
      <c r="A3" t="str">
        <f>C3&amp;"&gt; "&amp;D3&amp;"&gt; "&amp;H3</f>
        <v>09.의료장비제조 &gt; 01.의료기기품질관리&gt; 의료기기 품질문서 개발</v>
      </c>
      <c r="B3" s="70" t="s">
        <v>203</v>
      </c>
      <c r="C3" s="70" t="s">
        <v>179</v>
      </c>
      <c r="D3" s="70" t="s">
        <v>115</v>
      </c>
      <c r="E3" s="1">
        <v>4</v>
      </c>
      <c r="F3" s="1" t="s">
        <v>83</v>
      </c>
      <c r="G3" s="1" t="s">
        <v>204</v>
      </c>
      <c r="H3" s="1" t="s">
        <v>82</v>
      </c>
      <c r="K3" s="36"/>
    </row>
    <row r="4" spans="1:12" x14ac:dyDescent="0.3">
      <c r="A4" t="str">
        <f t="shared" ref="A4:A44" si="0">C4&amp;"&gt; "&amp;D4&amp;"&gt; "&amp;H4</f>
        <v>09.의료장비제조 &gt; 01.의료기기품질관리&gt; 의료기기 품질시스템 자원관리</v>
      </c>
      <c r="B4" s="70" t="s">
        <v>203</v>
      </c>
      <c r="C4" s="70" t="s">
        <v>178</v>
      </c>
      <c r="D4" s="70" t="s">
        <v>114</v>
      </c>
      <c r="E4" s="1">
        <v>4</v>
      </c>
      <c r="F4" s="1" t="s">
        <v>84</v>
      </c>
      <c r="G4" s="1" t="s">
        <v>205</v>
      </c>
      <c r="H4" s="1" t="s">
        <v>85</v>
      </c>
    </row>
    <row r="5" spans="1:12" x14ac:dyDescent="0.3">
      <c r="A5" t="str">
        <f t="shared" si="0"/>
        <v>09.의료장비제조 &gt; 01.의료기기품질관리&gt; 의료기기 내부(품질) 감사</v>
      </c>
      <c r="B5" s="70" t="s">
        <v>203</v>
      </c>
      <c r="C5" s="70" t="s">
        <v>178</v>
      </c>
      <c r="D5" s="70" t="s">
        <v>114</v>
      </c>
      <c r="E5" s="1">
        <v>5</v>
      </c>
      <c r="F5" s="1" t="s">
        <v>86</v>
      </c>
      <c r="G5" s="1" t="s">
        <v>206</v>
      </c>
      <c r="H5" s="1" t="s">
        <v>87</v>
      </c>
    </row>
    <row r="6" spans="1:12" x14ac:dyDescent="0.3">
      <c r="A6" t="str">
        <f t="shared" si="0"/>
        <v>09.의료장비제조 &gt; 01.의료기기품질관리&gt; 의료기기 품질시스템 인증</v>
      </c>
      <c r="B6" s="70" t="s">
        <v>203</v>
      </c>
      <c r="C6" s="70" t="s">
        <v>178</v>
      </c>
      <c r="D6" s="70" t="s">
        <v>114</v>
      </c>
      <c r="E6" s="1">
        <v>5</v>
      </c>
      <c r="F6" s="1" t="s">
        <v>88</v>
      </c>
      <c r="G6" s="1" t="s">
        <v>207</v>
      </c>
      <c r="H6" s="1" t="s">
        <v>89</v>
      </c>
    </row>
    <row r="7" spans="1:12" x14ac:dyDescent="0.3">
      <c r="A7" t="str">
        <f t="shared" si="0"/>
        <v>09.의료장비제조 &gt; 01.의료기기품질관리&gt; 의료기기 시제품 품질관리</v>
      </c>
      <c r="B7" s="70" t="s">
        <v>203</v>
      </c>
      <c r="C7" s="70" t="s">
        <v>178</v>
      </c>
      <c r="D7" s="70" t="s">
        <v>114</v>
      </c>
      <c r="E7" s="1">
        <v>4</v>
      </c>
      <c r="F7" s="1" t="s">
        <v>90</v>
      </c>
      <c r="G7" s="1" t="s">
        <v>208</v>
      </c>
      <c r="H7" s="1" t="s">
        <v>91</v>
      </c>
    </row>
    <row r="8" spans="1:12" x14ac:dyDescent="0.3">
      <c r="A8" t="str">
        <f t="shared" si="0"/>
        <v>09.의료장비제조 &gt; 01.의료기기품질관리&gt; 시정 및 예방조치(CAPA)</v>
      </c>
      <c r="B8" s="70" t="s">
        <v>203</v>
      </c>
      <c r="C8" s="70" t="s">
        <v>178</v>
      </c>
      <c r="D8" s="70" t="s">
        <v>114</v>
      </c>
      <c r="E8" s="1">
        <v>4</v>
      </c>
      <c r="F8" s="1" t="s">
        <v>92</v>
      </c>
      <c r="G8" s="1" t="s">
        <v>209</v>
      </c>
      <c r="H8" s="1" t="s">
        <v>93</v>
      </c>
    </row>
    <row r="9" spans="1:12" x14ac:dyDescent="0.3">
      <c r="A9" t="str">
        <f t="shared" si="0"/>
        <v>09.의료장비제조 &gt; 02.의료기기인·허가&gt; 인허가정보수집</v>
      </c>
      <c r="B9" s="70" t="s">
        <v>203</v>
      </c>
      <c r="C9" s="70" t="s">
        <v>178</v>
      </c>
      <c r="D9" s="70" t="s">
        <v>113</v>
      </c>
      <c r="E9" s="1">
        <v>5</v>
      </c>
      <c r="F9" s="1" t="s">
        <v>94</v>
      </c>
      <c r="G9" s="1" t="s">
        <v>204</v>
      </c>
      <c r="H9" s="1" t="s">
        <v>95</v>
      </c>
    </row>
    <row r="10" spans="1:12" x14ac:dyDescent="0.3">
      <c r="A10" t="str">
        <f t="shared" si="0"/>
        <v>09.의료장비제조 &gt; 02.의료기기인·허가&gt; 의료기기등급분류</v>
      </c>
      <c r="B10" s="70" t="s">
        <v>203</v>
      </c>
      <c r="C10" s="70" t="s">
        <v>178</v>
      </c>
      <c r="D10" s="70" t="s">
        <v>112</v>
      </c>
      <c r="E10" s="1">
        <v>3</v>
      </c>
      <c r="F10" s="1" t="s">
        <v>96</v>
      </c>
      <c r="G10" s="1" t="s">
        <v>205</v>
      </c>
      <c r="H10" s="1" t="s">
        <v>97</v>
      </c>
    </row>
    <row r="11" spans="1:12" x14ac:dyDescent="0.3">
      <c r="A11" t="str">
        <f t="shared" si="0"/>
        <v>09.의료장비제조 &gt; 02.의료기기인·허가&gt; 임상시험</v>
      </c>
      <c r="B11" s="70" t="s">
        <v>203</v>
      </c>
      <c r="C11" s="70" t="s">
        <v>178</v>
      </c>
      <c r="D11" s="70" t="s">
        <v>112</v>
      </c>
      <c r="E11" s="1">
        <v>6</v>
      </c>
      <c r="F11" s="1" t="s">
        <v>98</v>
      </c>
      <c r="G11" s="1" t="s">
        <v>206</v>
      </c>
      <c r="H11" s="1" t="s">
        <v>99</v>
      </c>
    </row>
    <row r="12" spans="1:12" x14ac:dyDescent="0.3">
      <c r="A12" t="str">
        <f t="shared" si="0"/>
        <v>09.의료장비제조 &gt; 02.의료기기인·허가&gt; 규격선정</v>
      </c>
      <c r="B12" s="70" t="s">
        <v>203</v>
      </c>
      <c r="C12" s="70" t="s">
        <v>178</v>
      </c>
      <c r="D12" s="70" t="s">
        <v>112</v>
      </c>
      <c r="E12" s="1">
        <v>4</v>
      </c>
      <c r="F12" s="1" t="s">
        <v>100</v>
      </c>
      <c r="G12" s="1" t="s">
        <v>210</v>
      </c>
      <c r="H12" s="1" t="s">
        <v>101</v>
      </c>
    </row>
    <row r="13" spans="1:12" x14ac:dyDescent="0.3">
      <c r="A13" t="str">
        <f t="shared" si="0"/>
        <v>09.의료장비제조 &gt; 02.의료기기인·허가&gt; 기술문서준비</v>
      </c>
      <c r="B13" s="70" t="s">
        <v>203</v>
      </c>
      <c r="C13" s="70" t="s">
        <v>178</v>
      </c>
      <c r="D13" s="70" t="s">
        <v>112</v>
      </c>
      <c r="E13" s="1">
        <v>4</v>
      </c>
      <c r="F13" s="1" t="s">
        <v>102</v>
      </c>
      <c r="G13" s="1" t="s">
        <v>207</v>
      </c>
      <c r="H13" s="1" t="s">
        <v>103</v>
      </c>
    </row>
    <row r="14" spans="1:12" x14ac:dyDescent="0.3">
      <c r="A14" t="str">
        <f t="shared" si="0"/>
        <v>09.의료장비제조 &gt; 02.의료기기인·허가&gt; 인허가심사</v>
      </c>
      <c r="B14" s="70" t="s">
        <v>203</v>
      </c>
      <c r="C14" s="70" t="s">
        <v>178</v>
      </c>
      <c r="D14" s="70" t="s">
        <v>112</v>
      </c>
      <c r="E14" s="1">
        <v>4</v>
      </c>
      <c r="F14" s="1" t="s">
        <v>104</v>
      </c>
      <c r="G14" s="1" t="s">
        <v>211</v>
      </c>
      <c r="H14" s="1" t="s">
        <v>105</v>
      </c>
    </row>
    <row r="15" spans="1:12" x14ac:dyDescent="0.3">
      <c r="A15" t="str">
        <f t="shared" si="0"/>
        <v>09.의료장비제조 &gt; 02.의료기기인·허가&gt; 보험등재</v>
      </c>
      <c r="B15" s="70" t="s">
        <v>203</v>
      </c>
      <c r="C15" s="70" t="s">
        <v>178</v>
      </c>
      <c r="D15" s="70" t="s">
        <v>112</v>
      </c>
      <c r="E15" s="1">
        <v>5</v>
      </c>
      <c r="F15" s="1" t="s">
        <v>106</v>
      </c>
      <c r="G15" s="1" t="s">
        <v>212</v>
      </c>
      <c r="H15" s="1" t="s">
        <v>107</v>
      </c>
    </row>
    <row r="16" spans="1:12" x14ac:dyDescent="0.3">
      <c r="A16" t="str">
        <f t="shared" si="0"/>
        <v>09.의료장비제조 &gt; 02.의료기기인·허가&gt; 인허가 사후관리</v>
      </c>
      <c r="B16" s="70" t="s">
        <v>203</v>
      </c>
      <c r="C16" s="70" t="s">
        <v>178</v>
      </c>
      <c r="D16" s="70" t="s">
        <v>112</v>
      </c>
      <c r="E16" s="1">
        <v>5</v>
      </c>
      <c r="F16" s="1" t="s">
        <v>108</v>
      </c>
      <c r="G16" s="1" t="s">
        <v>209</v>
      </c>
      <c r="H16" s="1" t="s">
        <v>109</v>
      </c>
    </row>
    <row r="17" spans="1:8" x14ac:dyDescent="0.3">
      <c r="A17" t="str">
        <f t="shared" si="0"/>
        <v>09.의료장비제조 &gt; 02.의료기기인·허가&gt; 임상평가</v>
      </c>
      <c r="B17" s="70" t="s">
        <v>203</v>
      </c>
      <c r="C17" s="70" t="s">
        <v>178</v>
      </c>
      <c r="D17" s="70" t="s">
        <v>112</v>
      </c>
      <c r="E17" s="1">
        <v>4</v>
      </c>
      <c r="F17" s="1" t="s">
        <v>110</v>
      </c>
      <c r="G17" s="1" t="s">
        <v>213</v>
      </c>
      <c r="H17" s="1" t="s">
        <v>111</v>
      </c>
    </row>
    <row r="18" spans="1:8" x14ac:dyDescent="0.3">
      <c r="A18" t="str">
        <f t="shared" si="0"/>
        <v>09.의료장비제조 &gt; 03.의료기기생산&gt; 의료기기 생산계획 수립</v>
      </c>
      <c r="B18" s="70" t="s">
        <v>203</v>
      </c>
      <c r="C18" s="70" t="s">
        <v>178</v>
      </c>
      <c r="D18" s="70" t="s">
        <v>117</v>
      </c>
      <c r="E18" s="1">
        <v>4</v>
      </c>
      <c r="F18" s="1" t="s">
        <v>142</v>
      </c>
      <c r="G18" s="1" t="s">
        <v>204</v>
      </c>
      <c r="H18" s="1" t="s">
        <v>143</v>
      </c>
    </row>
    <row r="19" spans="1:8" x14ac:dyDescent="0.3">
      <c r="A19" t="str">
        <f t="shared" si="0"/>
        <v>09.의료장비제조 &gt; 03.의료기기생산&gt; 의료기기 생산 구매관리</v>
      </c>
      <c r="B19" s="70" t="s">
        <v>203</v>
      </c>
      <c r="C19" s="70" t="s">
        <v>178</v>
      </c>
      <c r="D19" s="70" t="s">
        <v>116</v>
      </c>
      <c r="E19" s="1">
        <v>4</v>
      </c>
      <c r="F19" s="1" t="s">
        <v>144</v>
      </c>
      <c r="G19" s="1" t="s">
        <v>205</v>
      </c>
      <c r="H19" s="1" t="s">
        <v>145</v>
      </c>
    </row>
    <row r="20" spans="1:8" x14ac:dyDescent="0.3">
      <c r="A20" t="str">
        <f t="shared" si="0"/>
        <v>09.의료장비제조 &gt; 03.의료기기생산&gt; 의료기기 생산 자재관리</v>
      </c>
      <c r="B20" s="70" t="s">
        <v>203</v>
      </c>
      <c r="C20" s="70" t="s">
        <v>178</v>
      </c>
      <c r="D20" s="70" t="s">
        <v>116</v>
      </c>
      <c r="E20" s="1">
        <v>2</v>
      </c>
      <c r="F20" s="1" t="s">
        <v>146</v>
      </c>
      <c r="G20" s="1" t="s">
        <v>210</v>
      </c>
      <c r="H20" s="1" t="s">
        <v>147</v>
      </c>
    </row>
    <row r="21" spans="1:8" x14ac:dyDescent="0.3">
      <c r="A21" t="str">
        <f t="shared" si="0"/>
        <v>09.의료장비제조 &gt; 03.의료기기생산&gt; 의료기기 제작</v>
      </c>
      <c r="B21" s="70" t="s">
        <v>203</v>
      </c>
      <c r="C21" s="70" t="s">
        <v>178</v>
      </c>
      <c r="D21" s="70" t="s">
        <v>116</v>
      </c>
      <c r="E21" s="1">
        <v>2</v>
      </c>
      <c r="F21" s="1" t="s">
        <v>148</v>
      </c>
      <c r="G21" s="1" t="s">
        <v>207</v>
      </c>
      <c r="H21" s="1" t="s">
        <v>149</v>
      </c>
    </row>
    <row r="22" spans="1:8" x14ac:dyDescent="0.3">
      <c r="A22" t="str">
        <f t="shared" si="0"/>
        <v>09.의료장비제조 &gt; 03.의료기기생산&gt; 의료기기 생산 공정관리</v>
      </c>
      <c r="B22" s="70" t="s">
        <v>203</v>
      </c>
      <c r="C22" s="70" t="s">
        <v>178</v>
      </c>
      <c r="D22" s="70" t="s">
        <v>116</v>
      </c>
      <c r="E22" s="1">
        <v>4</v>
      </c>
      <c r="F22" s="1" t="s">
        <v>150</v>
      </c>
      <c r="G22" s="1" t="s">
        <v>208</v>
      </c>
      <c r="H22" s="1" t="s">
        <v>151</v>
      </c>
    </row>
    <row r="23" spans="1:8" x14ac:dyDescent="0.3">
      <c r="A23" t="str">
        <f t="shared" si="0"/>
        <v>09.의료장비제조 &gt; 03.의료기기생산&gt; 의료기기 생산 제품검사</v>
      </c>
      <c r="B23" s="70" t="s">
        <v>203</v>
      </c>
      <c r="C23" s="70" t="s">
        <v>178</v>
      </c>
      <c r="D23" s="70" t="s">
        <v>116</v>
      </c>
      <c r="E23" s="1">
        <v>2</v>
      </c>
      <c r="F23" s="1" t="s">
        <v>152</v>
      </c>
      <c r="G23" s="1" t="s">
        <v>214</v>
      </c>
      <c r="H23" s="1" t="s">
        <v>153</v>
      </c>
    </row>
    <row r="24" spans="1:8" x14ac:dyDescent="0.3">
      <c r="A24" t="str">
        <f t="shared" si="0"/>
        <v>09.의료장비제조 &gt; 03.의료기기생산&gt; 의료기기 생산 포장관리</v>
      </c>
      <c r="B24" s="70" t="s">
        <v>203</v>
      </c>
      <c r="C24" s="70" t="s">
        <v>178</v>
      </c>
      <c r="D24" s="70" t="s">
        <v>116</v>
      </c>
      <c r="E24" s="1">
        <v>2</v>
      </c>
      <c r="F24" s="1" t="s">
        <v>154</v>
      </c>
      <c r="G24" s="1" t="s">
        <v>211</v>
      </c>
      <c r="H24" s="1" t="s">
        <v>155</v>
      </c>
    </row>
    <row r="25" spans="1:8" x14ac:dyDescent="0.3">
      <c r="A25" t="str">
        <f t="shared" si="0"/>
        <v>09.의료장비제조 &gt; 03.의료기기생산&gt; 의료기기 생산 물류관리</v>
      </c>
      <c r="B25" s="70" t="s">
        <v>203</v>
      </c>
      <c r="C25" s="70" t="s">
        <v>178</v>
      </c>
      <c r="D25" s="70" t="s">
        <v>116</v>
      </c>
      <c r="E25" s="1">
        <v>4</v>
      </c>
      <c r="F25" s="1" t="s">
        <v>156</v>
      </c>
      <c r="G25" s="1" t="s">
        <v>212</v>
      </c>
      <c r="H25" s="1" t="s">
        <v>157</v>
      </c>
    </row>
    <row r="26" spans="1:8" x14ac:dyDescent="0.3">
      <c r="A26" t="str">
        <f t="shared" si="0"/>
        <v>09.의료장비제조 &gt; 03.의료기기생산&gt; 의료기기 생산 기반 시설 관리</v>
      </c>
      <c r="B26" s="70" t="s">
        <v>203</v>
      </c>
      <c r="C26" s="70" t="s">
        <v>178</v>
      </c>
      <c r="D26" s="70" t="s">
        <v>116</v>
      </c>
      <c r="E26" s="1">
        <v>3</v>
      </c>
      <c r="F26" s="1" t="s">
        <v>158</v>
      </c>
      <c r="G26" s="1" t="s">
        <v>213</v>
      </c>
      <c r="H26" s="1" t="s">
        <v>159</v>
      </c>
    </row>
    <row r="27" spans="1:8" x14ac:dyDescent="0.3">
      <c r="A27" t="str">
        <f t="shared" si="0"/>
        <v>09.의료장비제조 &gt; 04.의료기기연구개발&gt; 의료기기 연구개발기획</v>
      </c>
      <c r="B27" s="70" t="s">
        <v>203</v>
      </c>
      <c r="C27" s="70" t="s">
        <v>178</v>
      </c>
      <c r="D27" s="70" t="s">
        <v>119</v>
      </c>
      <c r="E27" s="1">
        <v>5</v>
      </c>
      <c r="F27" s="1" t="s">
        <v>160</v>
      </c>
      <c r="G27" s="1" t="s">
        <v>204</v>
      </c>
      <c r="H27" s="1" t="s">
        <v>161</v>
      </c>
    </row>
    <row r="28" spans="1:8" x14ac:dyDescent="0.3">
      <c r="A28" t="str">
        <f t="shared" si="0"/>
        <v>09.의료장비제조 &gt; 04.의료기기연구개발&gt; 의료기기 개발 계획 수립</v>
      </c>
      <c r="B28" s="70" t="s">
        <v>203</v>
      </c>
      <c r="C28" s="70" t="s">
        <v>178</v>
      </c>
      <c r="D28" s="70" t="s">
        <v>118</v>
      </c>
      <c r="E28" s="1">
        <v>5</v>
      </c>
      <c r="F28" s="1" t="s">
        <v>162</v>
      </c>
      <c r="G28" s="1" t="s">
        <v>205</v>
      </c>
      <c r="H28" s="1" t="s">
        <v>163</v>
      </c>
    </row>
    <row r="29" spans="1:8" x14ac:dyDescent="0.3">
      <c r="A29" t="str">
        <f t="shared" si="0"/>
        <v>09.의료장비제조 &gt; 04.의료기기연구개발&gt; 의료기기 개발 위험관리</v>
      </c>
      <c r="B29" s="70" t="s">
        <v>203</v>
      </c>
      <c r="C29" s="70" t="s">
        <v>178</v>
      </c>
      <c r="D29" s="70" t="s">
        <v>118</v>
      </c>
      <c r="E29" s="1">
        <v>4</v>
      </c>
      <c r="F29" s="1" t="s">
        <v>164</v>
      </c>
      <c r="G29" s="1" t="s">
        <v>206</v>
      </c>
      <c r="H29" s="1" t="s">
        <v>165</v>
      </c>
    </row>
    <row r="30" spans="1:8" x14ac:dyDescent="0.3">
      <c r="A30" t="str">
        <f t="shared" si="0"/>
        <v>09.의료장비제조 &gt; 04.의료기기연구개발&gt; 의료기기 하드웨어 설계제작</v>
      </c>
      <c r="B30" s="70" t="s">
        <v>203</v>
      </c>
      <c r="C30" s="70" t="s">
        <v>178</v>
      </c>
      <c r="D30" s="70" t="s">
        <v>118</v>
      </c>
      <c r="E30" s="1">
        <v>3</v>
      </c>
      <c r="F30" s="1" t="s">
        <v>166</v>
      </c>
      <c r="G30" s="1" t="s">
        <v>210</v>
      </c>
      <c r="H30" s="1" t="s">
        <v>167</v>
      </c>
    </row>
    <row r="31" spans="1:8" x14ac:dyDescent="0.3">
      <c r="A31" t="str">
        <f t="shared" si="0"/>
        <v>09.의료장비제조 &gt; 04.의료기기연구개발&gt; 의료기기 소프트웨어 설계제작</v>
      </c>
      <c r="B31" s="70" t="s">
        <v>203</v>
      </c>
      <c r="C31" s="70" t="s">
        <v>178</v>
      </c>
      <c r="D31" s="70" t="s">
        <v>118</v>
      </c>
      <c r="E31" s="1">
        <v>3</v>
      </c>
      <c r="F31" s="1" t="s">
        <v>168</v>
      </c>
      <c r="G31" s="1" t="s">
        <v>207</v>
      </c>
      <c r="H31" s="1" t="s">
        <v>169</v>
      </c>
    </row>
    <row r="32" spans="1:8" x14ac:dyDescent="0.3">
      <c r="A32" t="str">
        <f t="shared" si="0"/>
        <v>09.의료장비제조 &gt; 04.의료기기연구개발&gt; 의료기기 기구 설계제작</v>
      </c>
      <c r="B32" s="70" t="s">
        <v>203</v>
      </c>
      <c r="C32" s="70" t="s">
        <v>178</v>
      </c>
      <c r="D32" s="70" t="s">
        <v>118</v>
      </c>
      <c r="E32" s="1">
        <v>3</v>
      </c>
      <c r="F32" s="1" t="s">
        <v>170</v>
      </c>
      <c r="G32" s="1" t="s">
        <v>208</v>
      </c>
      <c r="H32" s="1" t="s">
        <v>171</v>
      </c>
    </row>
    <row r="33" spans="1:8" x14ac:dyDescent="0.3">
      <c r="A33" t="str">
        <f t="shared" si="0"/>
        <v>09.의료장비제조 &gt; 04.의료기기연구개발&gt; 의료기기 안전성 유효성 검사</v>
      </c>
      <c r="B33" s="70" t="s">
        <v>203</v>
      </c>
      <c r="C33" s="70" t="s">
        <v>178</v>
      </c>
      <c r="D33" s="70" t="s">
        <v>118</v>
      </c>
      <c r="E33" s="1">
        <v>3</v>
      </c>
      <c r="F33" s="1" t="s">
        <v>172</v>
      </c>
      <c r="G33" s="1" t="s">
        <v>214</v>
      </c>
      <c r="H33" s="1" t="s">
        <v>173</v>
      </c>
    </row>
    <row r="34" spans="1:8" x14ac:dyDescent="0.3">
      <c r="A34" t="str">
        <f t="shared" si="0"/>
        <v>09.의료장비제조 &gt; 04.의료기기연구개발&gt; 의료기기 개발문서 작성관리</v>
      </c>
      <c r="B34" s="70" t="s">
        <v>203</v>
      </c>
      <c r="C34" s="70" t="s">
        <v>178</v>
      </c>
      <c r="D34" s="70" t="s">
        <v>118</v>
      </c>
      <c r="E34" s="1">
        <v>4</v>
      </c>
      <c r="F34" s="1" t="s">
        <v>174</v>
      </c>
      <c r="G34" s="1" t="s">
        <v>212</v>
      </c>
      <c r="H34" s="1" t="s">
        <v>175</v>
      </c>
    </row>
    <row r="35" spans="1:8" x14ac:dyDescent="0.3">
      <c r="A35" t="str">
        <f t="shared" si="0"/>
        <v>09.의료장비제조 &gt; 04.의료기기연구개발&gt; 의료기기 설계 이관</v>
      </c>
      <c r="B35" s="70" t="s">
        <v>203</v>
      </c>
      <c r="C35" s="70" t="s">
        <v>178</v>
      </c>
      <c r="D35" s="70" t="s">
        <v>118</v>
      </c>
      <c r="E35" s="1">
        <v>4</v>
      </c>
      <c r="F35" s="1" t="s">
        <v>176</v>
      </c>
      <c r="G35" s="1" t="s">
        <v>209</v>
      </c>
      <c r="H35" s="1" t="s">
        <v>177</v>
      </c>
    </row>
    <row r="36" spans="1:8" x14ac:dyDescent="0.3">
      <c r="A36" t="str">
        <f t="shared" si="0"/>
        <v>10.광기술개발&gt; 07.광의료기기개발&gt; 광의료기기개발 기획</v>
      </c>
      <c r="B36" s="70" t="s">
        <v>203</v>
      </c>
      <c r="C36" s="70" t="s">
        <v>121</v>
      </c>
      <c r="D36" s="70" t="s">
        <v>123</v>
      </c>
      <c r="E36" s="1">
        <v>5</v>
      </c>
      <c r="F36" s="1" t="s">
        <v>124</v>
      </c>
      <c r="G36" s="1" t="s">
        <v>204</v>
      </c>
      <c r="H36" s="1" t="s">
        <v>125</v>
      </c>
    </row>
    <row r="37" spans="1:8" x14ac:dyDescent="0.3">
      <c r="A37" t="str">
        <f t="shared" si="0"/>
        <v>10.광기술개발&gt; 07.광의료기기개발&gt; 광의료기기개발 전략수립</v>
      </c>
      <c r="B37" s="70" t="s">
        <v>203</v>
      </c>
      <c r="C37" s="70" t="s">
        <v>120</v>
      </c>
      <c r="D37" s="70" t="s">
        <v>122</v>
      </c>
      <c r="E37" s="1">
        <v>5</v>
      </c>
      <c r="F37" s="1" t="s">
        <v>126</v>
      </c>
      <c r="G37" s="1" t="s">
        <v>205</v>
      </c>
      <c r="H37" s="1" t="s">
        <v>127</v>
      </c>
    </row>
    <row r="38" spans="1:8" x14ac:dyDescent="0.3">
      <c r="A38" t="str">
        <f t="shared" si="0"/>
        <v>10.광기술개발&gt; 07.광의료기기개발&gt; 광의료기기 광학모듈 개발</v>
      </c>
      <c r="B38" s="70" t="s">
        <v>203</v>
      </c>
      <c r="C38" s="70" t="s">
        <v>120</v>
      </c>
      <c r="D38" s="70" t="s">
        <v>122</v>
      </c>
      <c r="E38" s="1">
        <v>4</v>
      </c>
      <c r="F38" s="1" t="s">
        <v>128</v>
      </c>
      <c r="G38" s="1" t="s">
        <v>210</v>
      </c>
      <c r="H38" s="1" t="s">
        <v>129</v>
      </c>
    </row>
    <row r="39" spans="1:8" x14ac:dyDescent="0.3">
      <c r="A39" t="str">
        <f t="shared" si="0"/>
        <v>10.광기술개발&gt; 07.광의료기기개발&gt; 광의료기기 시스템 개발</v>
      </c>
      <c r="B39" s="70" t="s">
        <v>203</v>
      </c>
      <c r="C39" s="70" t="s">
        <v>120</v>
      </c>
      <c r="D39" s="70" t="s">
        <v>122</v>
      </c>
      <c r="E39" s="1">
        <v>5</v>
      </c>
      <c r="F39" s="1" t="s">
        <v>130</v>
      </c>
      <c r="G39" s="1" t="s">
        <v>207</v>
      </c>
      <c r="H39" s="1" t="s">
        <v>131</v>
      </c>
    </row>
    <row r="40" spans="1:8" x14ac:dyDescent="0.3">
      <c r="A40" t="str">
        <f t="shared" si="0"/>
        <v>10.광기술개발&gt; 07.광의료기기개발&gt; 광의료기기 소프트웨어 개발</v>
      </c>
      <c r="B40" s="70" t="s">
        <v>203</v>
      </c>
      <c r="C40" s="70" t="s">
        <v>120</v>
      </c>
      <c r="D40" s="70" t="s">
        <v>122</v>
      </c>
      <c r="E40" s="1">
        <v>5</v>
      </c>
      <c r="F40" s="1" t="s">
        <v>132</v>
      </c>
      <c r="G40" s="1" t="s">
        <v>208</v>
      </c>
      <c r="H40" s="1" t="s">
        <v>133</v>
      </c>
    </row>
    <row r="41" spans="1:8" x14ac:dyDescent="0.3">
      <c r="A41" t="str">
        <f t="shared" si="0"/>
        <v>10.광기술개발&gt; 07.광의료기기개발&gt; 광의료기기 비임상·임상 시험</v>
      </c>
      <c r="B41" s="70" t="s">
        <v>203</v>
      </c>
      <c r="C41" s="70" t="s">
        <v>120</v>
      </c>
      <c r="D41" s="70" t="s">
        <v>122</v>
      </c>
      <c r="E41" s="1">
        <v>4</v>
      </c>
      <c r="F41" s="1" t="s">
        <v>134</v>
      </c>
      <c r="G41" s="1" t="s">
        <v>211</v>
      </c>
      <c r="H41" s="1" t="s">
        <v>135</v>
      </c>
    </row>
    <row r="42" spans="1:8" x14ac:dyDescent="0.3">
      <c r="A42" t="str">
        <f t="shared" si="0"/>
        <v>10.광기술개발&gt; 07.광의료기기개발&gt; 광의료기기 인증관리</v>
      </c>
      <c r="B42" s="70" t="s">
        <v>203</v>
      </c>
      <c r="C42" s="70" t="s">
        <v>120</v>
      </c>
      <c r="D42" s="70" t="s">
        <v>122</v>
      </c>
      <c r="E42" s="1">
        <v>4</v>
      </c>
      <c r="F42" s="1" t="s">
        <v>136</v>
      </c>
      <c r="G42" s="1" t="s">
        <v>212</v>
      </c>
      <c r="H42" s="1" t="s">
        <v>137</v>
      </c>
    </row>
    <row r="43" spans="1:8" x14ac:dyDescent="0.3">
      <c r="A43" t="str">
        <f t="shared" si="0"/>
        <v>10.광기술개발&gt; 07.광의료기기개발&gt; 광의료기기 양산이관</v>
      </c>
      <c r="B43" s="70" t="s">
        <v>203</v>
      </c>
      <c r="C43" s="70" t="s">
        <v>120</v>
      </c>
      <c r="D43" s="70" t="s">
        <v>122</v>
      </c>
      <c r="E43" s="1">
        <v>4</v>
      </c>
      <c r="F43" s="1" t="s">
        <v>138</v>
      </c>
      <c r="G43" s="1" t="s">
        <v>213</v>
      </c>
      <c r="H43" s="1" t="s">
        <v>139</v>
      </c>
    </row>
    <row r="44" spans="1:8" x14ac:dyDescent="0.3">
      <c r="A44" t="str">
        <f t="shared" si="0"/>
        <v>10.광기술개발&gt; 07.광의료기기개발&gt; 광의료기기 기구개발</v>
      </c>
      <c r="B44" s="70" t="s">
        <v>203</v>
      </c>
      <c r="C44" s="70" t="s">
        <v>120</v>
      </c>
      <c r="D44" s="70" t="s">
        <v>122</v>
      </c>
      <c r="E44" s="1">
        <v>4</v>
      </c>
      <c r="F44" s="1" t="s">
        <v>140</v>
      </c>
      <c r="G44" s="1" t="s">
        <v>215</v>
      </c>
      <c r="H44" s="1" t="s">
        <v>141</v>
      </c>
    </row>
    <row r="84" spans="5:8" x14ac:dyDescent="0.3">
      <c r="E84" t="s">
        <v>203</v>
      </c>
      <c r="F84" t="s">
        <v>178</v>
      </c>
      <c r="H84" t="s">
        <v>114</v>
      </c>
    </row>
    <row r="85" spans="5:8" x14ac:dyDescent="0.3">
      <c r="E85" t="s">
        <v>203</v>
      </c>
      <c r="F85" t="s">
        <v>178</v>
      </c>
      <c r="H85" t="s">
        <v>112</v>
      </c>
    </row>
    <row r="86" spans="5:8" x14ac:dyDescent="0.3">
      <c r="E86" t="s">
        <v>203</v>
      </c>
      <c r="F86" t="s">
        <v>178</v>
      </c>
      <c r="H86" t="s">
        <v>116</v>
      </c>
    </row>
    <row r="87" spans="5:8" x14ac:dyDescent="0.3">
      <c r="E87" t="s">
        <v>203</v>
      </c>
      <c r="F87" t="s">
        <v>178</v>
      </c>
      <c r="H87" t="s">
        <v>118</v>
      </c>
    </row>
    <row r="88" spans="5:8" x14ac:dyDescent="0.3">
      <c r="F88" t="s">
        <v>120</v>
      </c>
      <c r="H88" t="s">
        <v>122</v>
      </c>
    </row>
  </sheetData>
  <autoFilter ref="C1:L2" xr:uid="{00000000-0009-0000-0000-000000000000}">
    <filterColumn colId="2" showButton="0"/>
  </autoFilter>
  <mergeCells count="8">
    <mergeCell ref="C36:C44"/>
    <mergeCell ref="D36:D44"/>
    <mergeCell ref="B3:B44"/>
    <mergeCell ref="C3:C35"/>
    <mergeCell ref="D3:D8"/>
    <mergeCell ref="D9:D17"/>
    <mergeCell ref="D18:D26"/>
    <mergeCell ref="D27:D35"/>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B1" sqref="B1:B1048576"/>
    </sheetView>
  </sheetViews>
  <sheetFormatPr defaultRowHeight="16.5" x14ac:dyDescent="0.3"/>
  <cols>
    <col min="1" max="1" width="10" customWidth="1"/>
    <col min="2" max="2" width="33.25" customWidth="1"/>
    <col min="3" max="3" width="124.125" customWidth="1"/>
  </cols>
  <sheetData>
    <row r="1" spans="2:3" x14ac:dyDescent="0.3">
      <c r="B1" s="31" t="s">
        <v>79</v>
      </c>
      <c r="C1" s="31" t="s">
        <v>78</v>
      </c>
    </row>
    <row r="2" spans="2:3" x14ac:dyDescent="0.3">
      <c r="B2" s="29" t="s">
        <v>77</v>
      </c>
      <c r="C2" t="e">
        <f>VLOOKUP(B2,통합!$H$2:$R$4,3,FALSE)</f>
        <v>#N/A</v>
      </c>
    </row>
    <row r="3" spans="2:3" x14ac:dyDescent="0.2">
      <c r="B3" s="30" t="s">
        <v>76</v>
      </c>
      <c r="C3" t="e">
        <f>VLOOKUP(B3,통합!$H$2:$R$4,3,FALSE)</f>
        <v>#N/A</v>
      </c>
    </row>
    <row r="4" spans="2:3" x14ac:dyDescent="0.2">
      <c r="B4" s="30" t="s">
        <v>75</v>
      </c>
      <c r="C4" t="e">
        <f>VLOOKUP(B4,통합!$H$2:$R$4,3,FALSE)</f>
        <v>#N/A</v>
      </c>
    </row>
    <row r="5" spans="2:3" x14ac:dyDescent="0.3">
      <c r="B5" s="29" t="s">
        <v>74</v>
      </c>
      <c r="C5" t="e">
        <f>VLOOKUP(B5,통합!$H$2:$R$4,3,FALSE)</f>
        <v>#N/A</v>
      </c>
    </row>
    <row r="6" spans="2:3" x14ac:dyDescent="0.3">
      <c r="B6" s="29" t="s">
        <v>73</v>
      </c>
      <c r="C6" t="e">
        <f>VLOOKUP(B6,통합!$H$2:$R$4,3,FALSE)</f>
        <v>#N/A</v>
      </c>
    </row>
    <row r="7" spans="2:3" x14ac:dyDescent="0.3">
      <c r="B7" s="28"/>
      <c r="C7" t="e">
        <f>VLOOKUP(B7,통합!$H$2:$R$4,3,FALSE)</f>
        <v>#N/A</v>
      </c>
    </row>
    <row r="8" spans="2:3" x14ac:dyDescent="0.3">
      <c r="B8" s="28"/>
      <c r="C8" t="e">
        <f>VLOOKUP(B8,통합!$H$2:$R$4,3,FALSE)</f>
        <v>#N/A</v>
      </c>
    </row>
    <row r="9" spans="2:3" x14ac:dyDescent="0.3">
      <c r="B9" s="28"/>
      <c r="C9" t="e">
        <f>VLOOKUP(B9,통합!$H$2:$R$4,3,FALSE)</f>
        <v>#N/A</v>
      </c>
    </row>
    <row r="10" spans="2:3" x14ac:dyDescent="0.3">
      <c r="B10" s="28"/>
      <c r="C10" t="e">
        <f>VLOOKUP(B10,통합!$H$2:$R$4,3,FALSE)</f>
        <v>#N/A</v>
      </c>
    </row>
    <row r="11" spans="2:3" x14ac:dyDescent="0.3">
      <c r="B11" s="27"/>
      <c r="C11" t="e">
        <f>VLOOKUP(B11,통합!$H$2:$R$4,3,FALSE)</f>
        <v>#N/A</v>
      </c>
    </row>
    <row r="24" spans="2:2" x14ac:dyDescent="0.3">
      <c r="B24" s="19" t="s">
        <v>57</v>
      </c>
    </row>
    <row r="25" spans="2:2" x14ac:dyDescent="0.3">
      <c r="B25" s="19" t="s">
        <v>60</v>
      </c>
    </row>
    <row r="26" spans="2:2" x14ac:dyDescent="0.3">
      <c r="B26" s="19" t="s">
        <v>59</v>
      </c>
    </row>
    <row r="27" spans="2:2" x14ac:dyDescent="0.3">
      <c r="B27" s="19" t="s">
        <v>58</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3.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탬플릿-기준 (3)</vt:lpstr>
      <vt:lpstr>AFX1-리터러시</vt:lpstr>
      <vt:lpstr>AFX2-AI문서데이터</vt:lpstr>
      <vt:lpstr>AFX3-AI워크플로우</vt:lpstr>
      <vt:lpstr>ALX1-QA품질보증</vt:lpstr>
      <vt:lpstr>ALX2-제조공정문서</vt:lpstr>
      <vt:lpstr>ALX3-데이터기반의사결정</vt:lpstr>
      <vt:lpstr>ALX4-R&amp;D요구사항설계자동화</vt:lpstr>
      <vt:lpstr>APX1-제조 공정 AI 워크플로 MVP 구축 </vt:lpstr>
      <vt:lpstr>APX2- </vt:lpstr>
      <vt:lpstr>탬플릿-기준</vt:lpstr>
      <vt:lpstr>탬플릿</vt:lpstr>
      <vt:lpstr>탬플릿(클린)</vt:lpstr>
      <vt:lpstr>통합</vt:lpstr>
      <vt:lpstr>진단-능력단위자동설명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2026-02-21T09:10:07Z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