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D:\Web_Dev\ClaudeSkills\hwp-autofill\"/>
    </mc:Choice>
  </mc:AlternateContent>
  <xr:revisionPtr revIDLastSave="0" documentId="13_ncr:1_{C7CF287E-9211-4F40-A31B-10C512C374F6}" xr6:coauthVersionLast="47" xr6:coauthVersionMax="47" xr10:uidLastSave="{00000000-0000-0000-0000-000000000000}"/>
  <bookViews>
    <workbookView xWindow="-38520" yWindow="30" windowWidth="38640" windowHeight="21840" xr2:uid="{A69EB244-8E03-494D-A415-2A99BDC04988}"/>
  </bookViews>
  <sheets>
    <sheet name="●프롬프트" sheetId="27" r:id="rId1"/>
    <sheet name="1-AFX1 리터러시" sheetId="29" r:id="rId2"/>
    <sheet name="2-AFX-2 데이터" sheetId="31" r:id="rId3"/>
    <sheet name="3-AFX-3 워크플로우" sheetId="32" r:id="rId4"/>
    <sheet name="4-ALX QA" sheetId="33" r:id="rId5"/>
    <sheet name="5-ALX RA" sheetId="30" r:id="rId6"/>
    <sheet name="6-ALX R&amp;D" sheetId="34" r:id="rId7"/>
    <sheet name="7-ALX DATA" sheetId="35" r:id="rId8"/>
    <sheet name="탬플릿-기준" sheetId="12" r:id="rId9"/>
    <sheet name="탬플릿" sheetId="3" r:id="rId10"/>
    <sheet name="탬플릿(클린)" sheetId="1" r:id="rId11"/>
    <sheet name="통합" sheetId="13" r:id="rId12"/>
    <sheet name="세부능력단위" sheetId="26" r:id="rId13"/>
    <sheet name="진단-능력단위자동설명" sheetId="14" r:id="rId14"/>
  </sheets>
  <definedNames>
    <definedName name="_xlnm._FilterDatabase" localSheetId="11" hidden="1">통합!$D$1:$J$1</definedName>
    <definedName name="능력단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1" i="31" l="1"/>
  <c r="C41" i="32"/>
  <c r="C41" i="33"/>
  <c r="C41" i="30"/>
  <c r="C41" i="34"/>
  <c r="C41" i="35"/>
  <c r="C41" i="29"/>
  <c r="C40" i="31"/>
  <c r="C40" i="32"/>
  <c r="C40" i="33"/>
  <c r="C40" i="30"/>
  <c r="C40" i="34"/>
  <c r="C40" i="35"/>
  <c r="C40" i="29"/>
  <c r="C39" i="31"/>
  <c r="C39" i="32"/>
  <c r="C39" i="33"/>
  <c r="C39" i="30"/>
  <c r="C39" i="34"/>
  <c r="C39" i="35"/>
  <c r="C39" i="29"/>
  <c r="C38" i="31"/>
  <c r="C38" i="32"/>
  <c r="C38" i="33"/>
  <c r="C38" i="30"/>
  <c r="C38" i="34"/>
  <c r="C38" i="35"/>
  <c r="C38" i="29"/>
  <c r="C37" i="31"/>
  <c r="C37" i="32"/>
  <c r="C37" i="33"/>
  <c r="C37" i="30"/>
  <c r="C37" i="34"/>
  <c r="C37" i="35"/>
  <c r="C37" i="29"/>
  <c r="K131" i="35"/>
  <c r="H130" i="35"/>
  <c r="H129" i="35"/>
  <c r="H128" i="35"/>
  <c r="H127" i="35"/>
  <c r="H126" i="35"/>
  <c r="H124" i="35"/>
  <c r="H123" i="35"/>
  <c r="H122" i="35"/>
  <c r="H120" i="35"/>
  <c r="H119" i="35"/>
  <c r="H118" i="35"/>
  <c r="H117" i="35"/>
  <c r="H116" i="35"/>
  <c r="H114" i="35"/>
  <c r="H113" i="35"/>
  <c r="H112" i="35"/>
  <c r="H110" i="35"/>
  <c r="H109" i="35"/>
  <c r="H108" i="35"/>
  <c r="H107" i="35"/>
  <c r="H106" i="35"/>
  <c r="H104" i="35"/>
  <c r="H103" i="35"/>
  <c r="H102" i="35"/>
  <c r="H100" i="35"/>
  <c r="H99" i="35"/>
  <c r="H98" i="35"/>
  <c r="H97" i="35"/>
  <c r="H96" i="35"/>
  <c r="H94" i="35"/>
  <c r="H93" i="35"/>
  <c r="H92" i="35"/>
  <c r="H90" i="35"/>
  <c r="H89" i="35"/>
  <c r="H88" i="35"/>
  <c r="H87" i="35"/>
  <c r="H86" i="35"/>
  <c r="H84" i="35"/>
  <c r="H83" i="35"/>
  <c r="H82" i="35"/>
  <c r="I77" i="35"/>
  <c r="C77" i="35"/>
  <c r="I76" i="35"/>
  <c r="C76" i="35"/>
  <c r="I75" i="35"/>
  <c r="C75" i="35"/>
  <c r="I74" i="35"/>
  <c r="C74" i="35"/>
  <c r="I73" i="35"/>
  <c r="C73" i="35"/>
  <c r="I72" i="35"/>
  <c r="C72" i="35"/>
  <c r="I71" i="35"/>
  <c r="C71" i="35"/>
  <c r="I70" i="35"/>
  <c r="C70" i="35"/>
  <c r="I69" i="35"/>
  <c r="C69" i="35"/>
  <c r="I68" i="35"/>
  <c r="C68" i="35"/>
  <c r="I67" i="35"/>
  <c r="C67" i="35"/>
  <c r="I66" i="35"/>
  <c r="C66" i="35"/>
  <c r="I65" i="35"/>
  <c r="C65" i="35"/>
  <c r="I64" i="35"/>
  <c r="C64" i="35"/>
  <c r="I63" i="35"/>
  <c r="C63" i="35"/>
  <c r="I62" i="35"/>
  <c r="C62" i="35"/>
  <c r="I61" i="35"/>
  <c r="C61" i="35"/>
  <c r="I60" i="35"/>
  <c r="C60" i="35"/>
  <c r="I59" i="35"/>
  <c r="C59" i="35"/>
  <c r="I58" i="35"/>
  <c r="C58" i="35"/>
  <c r="I57" i="35"/>
  <c r="C57" i="35"/>
  <c r="I56" i="35"/>
  <c r="C56" i="35"/>
  <c r="I55" i="35"/>
  <c r="C55" i="35"/>
  <c r="I54" i="35"/>
  <c r="C54" i="35"/>
  <c r="I53" i="35"/>
  <c r="C53" i="35"/>
  <c r="I52" i="35"/>
  <c r="C52" i="35"/>
  <c r="I51" i="35"/>
  <c r="C51" i="35"/>
  <c r="I50" i="35"/>
  <c r="C50" i="35"/>
  <c r="I49" i="35"/>
  <c r="C49" i="35"/>
  <c r="I48" i="35"/>
  <c r="C48" i="35"/>
  <c r="I47" i="35"/>
  <c r="C47" i="35"/>
  <c r="I46" i="35"/>
  <c r="E46" i="35"/>
  <c r="D46" i="35"/>
  <c r="C46" i="35"/>
  <c r="D127" i="35" s="1"/>
  <c r="C36" i="35"/>
  <c r="C35" i="35"/>
  <c r="C34" i="35"/>
  <c r="C33" i="35"/>
  <c r="C32" i="35"/>
  <c r="C10" i="35"/>
  <c r="C9" i="35"/>
  <c r="C8" i="35"/>
  <c r="C7" i="35"/>
  <c r="C6" i="35"/>
  <c r="C5" i="35"/>
  <c r="C8" i="34"/>
  <c r="K131" i="34"/>
  <c r="H130" i="34"/>
  <c r="H129" i="34"/>
  <c r="H128" i="34"/>
  <c r="H127" i="34"/>
  <c r="H126" i="34"/>
  <c r="H124" i="34"/>
  <c r="H123" i="34"/>
  <c r="H122" i="34"/>
  <c r="H120" i="34"/>
  <c r="H119" i="34"/>
  <c r="H118" i="34"/>
  <c r="H117" i="34"/>
  <c r="H116" i="34"/>
  <c r="H114" i="34"/>
  <c r="H113" i="34"/>
  <c r="H112" i="34"/>
  <c r="H110" i="34"/>
  <c r="H109" i="34"/>
  <c r="H108" i="34"/>
  <c r="H107" i="34"/>
  <c r="H106" i="34"/>
  <c r="H104" i="34"/>
  <c r="H103" i="34"/>
  <c r="H102" i="34"/>
  <c r="H100" i="34"/>
  <c r="H99" i="34"/>
  <c r="H98" i="34"/>
  <c r="H97" i="34"/>
  <c r="H96" i="34"/>
  <c r="H94" i="34"/>
  <c r="H93" i="34"/>
  <c r="H92" i="34"/>
  <c r="H90" i="34"/>
  <c r="H89" i="34"/>
  <c r="H88" i="34"/>
  <c r="H87" i="34"/>
  <c r="H86" i="34"/>
  <c r="H84" i="34"/>
  <c r="H83" i="34"/>
  <c r="H82" i="34"/>
  <c r="I77" i="34"/>
  <c r="C77" i="34"/>
  <c r="I76" i="34"/>
  <c r="C76" i="34"/>
  <c r="I75" i="34"/>
  <c r="C75" i="34"/>
  <c r="I74" i="34"/>
  <c r="C74" i="34"/>
  <c r="I73" i="34"/>
  <c r="C73" i="34"/>
  <c r="I72" i="34"/>
  <c r="C72" i="34"/>
  <c r="I71" i="34"/>
  <c r="C71" i="34"/>
  <c r="I70" i="34"/>
  <c r="C70" i="34"/>
  <c r="I69" i="34"/>
  <c r="C69" i="34"/>
  <c r="I68" i="34"/>
  <c r="C68" i="34"/>
  <c r="I67" i="34"/>
  <c r="C67" i="34"/>
  <c r="I66" i="34"/>
  <c r="C66" i="34"/>
  <c r="I65" i="34"/>
  <c r="C65" i="34"/>
  <c r="I64" i="34"/>
  <c r="C64" i="34"/>
  <c r="I63" i="34"/>
  <c r="C63" i="34"/>
  <c r="I62" i="34"/>
  <c r="C62" i="34"/>
  <c r="I61" i="34"/>
  <c r="C61" i="34"/>
  <c r="I60" i="34"/>
  <c r="C60" i="34"/>
  <c r="I59" i="34"/>
  <c r="C59" i="34"/>
  <c r="I58" i="34"/>
  <c r="C58" i="34"/>
  <c r="I57" i="34"/>
  <c r="C57" i="34"/>
  <c r="I56" i="34"/>
  <c r="C56" i="34"/>
  <c r="I55" i="34"/>
  <c r="C55" i="34"/>
  <c r="I54" i="34"/>
  <c r="C54" i="34"/>
  <c r="I53" i="34"/>
  <c r="C53" i="34"/>
  <c r="I52" i="34"/>
  <c r="C52" i="34"/>
  <c r="I51" i="34"/>
  <c r="C51" i="34"/>
  <c r="I50" i="34"/>
  <c r="C50" i="34"/>
  <c r="I49" i="34"/>
  <c r="C49" i="34"/>
  <c r="I48" i="34"/>
  <c r="C48" i="34"/>
  <c r="I47" i="34"/>
  <c r="C47" i="34"/>
  <c r="E127" i="34" s="1"/>
  <c r="I46" i="34"/>
  <c r="E46" i="34"/>
  <c r="D46" i="34"/>
  <c r="C46" i="34"/>
  <c r="C36" i="34"/>
  <c r="C35" i="34"/>
  <c r="C34" i="34"/>
  <c r="C33" i="34"/>
  <c r="C32" i="34"/>
  <c r="C10" i="34"/>
  <c r="C9" i="34"/>
  <c r="C7" i="34"/>
  <c r="C6" i="34"/>
  <c r="C5" i="34"/>
  <c r="K131" i="33"/>
  <c r="H130" i="33"/>
  <c r="H129" i="33"/>
  <c r="H128" i="33"/>
  <c r="H127" i="33"/>
  <c r="H126" i="33"/>
  <c r="H124" i="33"/>
  <c r="H123" i="33"/>
  <c r="H122" i="33"/>
  <c r="H120" i="33"/>
  <c r="H119" i="33"/>
  <c r="H118" i="33"/>
  <c r="H117" i="33"/>
  <c r="H116" i="33"/>
  <c r="H114" i="33"/>
  <c r="H113" i="33"/>
  <c r="H112" i="33"/>
  <c r="H110" i="33"/>
  <c r="H109" i="33"/>
  <c r="H108" i="33"/>
  <c r="H107" i="33"/>
  <c r="H106" i="33"/>
  <c r="H104" i="33"/>
  <c r="H103" i="33"/>
  <c r="H102" i="33"/>
  <c r="H100" i="33"/>
  <c r="H99" i="33"/>
  <c r="H98" i="33"/>
  <c r="H97" i="33"/>
  <c r="H96" i="33"/>
  <c r="H94" i="33"/>
  <c r="H93" i="33"/>
  <c r="H92" i="33"/>
  <c r="H90" i="33"/>
  <c r="H89" i="33"/>
  <c r="H88" i="33"/>
  <c r="H87" i="33"/>
  <c r="H86" i="33"/>
  <c r="H84" i="33"/>
  <c r="H83" i="33"/>
  <c r="H82" i="33"/>
  <c r="I77" i="33"/>
  <c r="C77" i="33"/>
  <c r="I76" i="33"/>
  <c r="C76" i="33"/>
  <c r="I75" i="33"/>
  <c r="C75" i="33"/>
  <c r="I74" i="33"/>
  <c r="C74" i="33"/>
  <c r="I73" i="33"/>
  <c r="C73" i="33"/>
  <c r="I72" i="33"/>
  <c r="C72" i="33"/>
  <c r="I71" i="33"/>
  <c r="C71" i="33"/>
  <c r="I70" i="33"/>
  <c r="C70" i="33"/>
  <c r="I69" i="33"/>
  <c r="C69" i="33"/>
  <c r="I68" i="33"/>
  <c r="C68" i="33"/>
  <c r="I67" i="33"/>
  <c r="C67" i="33"/>
  <c r="I66" i="33"/>
  <c r="C66" i="33"/>
  <c r="I65" i="33"/>
  <c r="C65" i="33"/>
  <c r="I64" i="33"/>
  <c r="C64" i="33"/>
  <c r="I63" i="33"/>
  <c r="C63" i="33"/>
  <c r="I62" i="33"/>
  <c r="C62" i="33"/>
  <c r="I61" i="33"/>
  <c r="C61" i="33"/>
  <c r="I60" i="33"/>
  <c r="C60" i="33"/>
  <c r="I59" i="33"/>
  <c r="C59" i="33"/>
  <c r="I58" i="33"/>
  <c r="C58" i="33"/>
  <c r="I57" i="33"/>
  <c r="C57" i="33"/>
  <c r="I56" i="33"/>
  <c r="C56" i="33"/>
  <c r="I55" i="33"/>
  <c r="C55" i="33"/>
  <c r="I54" i="33"/>
  <c r="C54" i="33"/>
  <c r="I53" i="33"/>
  <c r="C53" i="33"/>
  <c r="I52" i="33"/>
  <c r="C52" i="33"/>
  <c r="I51" i="33"/>
  <c r="C51" i="33"/>
  <c r="I50" i="33"/>
  <c r="C50" i="33"/>
  <c r="I49" i="33"/>
  <c r="C49" i="33"/>
  <c r="I48" i="33"/>
  <c r="C48" i="33"/>
  <c r="I47" i="33"/>
  <c r="C47" i="33"/>
  <c r="I46" i="33"/>
  <c r="E46" i="33"/>
  <c r="D46" i="33"/>
  <c r="C46" i="33"/>
  <c r="D127" i="33" s="1"/>
  <c r="C36" i="33"/>
  <c r="C35" i="33"/>
  <c r="C34" i="33"/>
  <c r="C33" i="33"/>
  <c r="C32" i="33"/>
  <c r="C10" i="33"/>
  <c r="C9" i="33"/>
  <c r="C8" i="33"/>
  <c r="C7" i="33"/>
  <c r="C6" i="33"/>
  <c r="C5" i="33"/>
  <c r="K131" i="32"/>
  <c r="H130" i="32"/>
  <c r="H129" i="32"/>
  <c r="H128" i="32"/>
  <c r="H127" i="32"/>
  <c r="H126" i="32"/>
  <c r="H124" i="32"/>
  <c r="H123" i="32"/>
  <c r="H122" i="32"/>
  <c r="H120" i="32"/>
  <c r="H119" i="32"/>
  <c r="H118" i="32"/>
  <c r="H117" i="32"/>
  <c r="H116" i="32"/>
  <c r="H114" i="32"/>
  <c r="H113" i="32"/>
  <c r="H112" i="32"/>
  <c r="H110" i="32"/>
  <c r="H109" i="32"/>
  <c r="H108" i="32"/>
  <c r="H107" i="32"/>
  <c r="H106" i="32"/>
  <c r="H104" i="32"/>
  <c r="H103" i="32"/>
  <c r="H102" i="32"/>
  <c r="H100" i="32"/>
  <c r="H99" i="32"/>
  <c r="H98" i="32"/>
  <c r="H97" i="32"/>
  <c r="H96" i="32"/>
  <c r="H94" i="32"/>
  <c r="H93" i="32"/>
  <c r="H92" i="32"/>
  <c r="H90" i="32"/>
  <c r="H89" i="32"/>
  <c r="H88" i="32"/>
  <c r="H87" i="32"/>
  <c r="H86" i="32"/>
  <c r="H84" i="32"/>
  <c r="H83" i="32"/>
  <c r="H82" i="32"/>
  <c r="I77" i="32"/>
  <c r="C77" i="32"/>
  <c r="I76" i="32"/>
  <c r="C76" i="32"/>
  <c r="I75" i="32"/>
  <c r="C75" i="32"/>
  <c r="I74" i="32"/>
  <c r="C74" i="32"/>
  <c r="I73" i="32"/>
  <c r="C73" i="32"/>
  <c r="I72" i="32"/>
  <c r="C72" i="32"/>
  <c r="I71" i="32"/>
  <c r="C71" i="32"/>
  <c r="I70" i="32"/>
  <c r="C70" i="32"/>
  <c r="I69" i="32"/>
  <c r="C69" i="32"/>
  <c r="I68" i="32"/>
  <c r="C68" i="32"/>
  <c r="I67" i="32"/>
  <c r="C67" i="32"/>
  <c r="I66" i="32"/>
  <c r="C66" i="32"/>
  <c r="I65" i="32"/>
  <c r="C65" i="32"/>
  <c r="I64" i="32"/>
  <c r="C64" i="32"/>
  <c r="I63" i="32"/>
  <c r="C63" i="32"/>
  <c r="I62" i="32"/>
  <c r="C62" i="32"/>
  <c r="I61" i="32"/>
  <c r="C61" i="32"/>
  <c r="I60" i="32"/>
  <c r="C60" i="32"/>
  <c r="I59" i="32"/>
  <c r="C59" i="32"/>
  <c r="I58" i="32"/>
  <c r="C58" i="32"/>
  <c r="I57" i="32"/>
  <c r="C57" i="32"/>
  <c r="I56" i="32"/>
  <c r="C56" i="32"/>
  <c r="I55" i="32"/>
  <c r="C55" i="32"/>
  <c r="I54" i="32"/>
  <c r="C54" i="32"/>
  <c r="I53" i="32"/>
  <c r="C53" i="32"/>
  <c r="I52" i="32"/>
  <c r="C52" i="32"/>
  <c r="I51" i="32"/>
  <c r="C51" i="32"/>
  <c r="I50" i="32"/>
  <c r="C50" i="32"/>
  <c r="I49" i="32"/>
  <c r="C49" i="32"/>
  <c r="I48" i="32"/>
  <c r="C48" i="32"/>
  <c r="I47" i="32"/>
  <c r="C47" i="32"/>
  <c r="I46" i="32"/>
  <c r="E46" i="32"/>
  <c r="D46" i="32"/>
  <c r="C46" i="32"/>
  <c r="E82" i="32" s="1"/>
  <c r="C36" i="32"/>
  <c r="C35" i="32"/>
  <c r="C34" i="32"/>
  <c r="C33" i="32"/>
  <c r="C32" i="32"/>
  <c r="C10" i="32"/>
  <c r="C9" i="32"/>
  <c r="C8" i="32"/>
  <c r="C7" i="32"/>
  <c r="C6" i="32"/>
  <c r="C5" i="32"/>
  <c r="K131" i="31"/>
  <c r="H130" i="31"/>
  <c r="H129" i="31"/>
  <c r="H128" i="31"/>
  <c r="H127" i="31"/>
  <c r="H126" i="31"/>
  <c r="H124" i="31"/>
  <c r="H123" i="31"/>
  <c r="H122" i="31"/>
  <c r="H120" i="31"/>
  <c r="H119" i="31"/>
  <c r="H118" i="31"/>
  <c r="H117" i="31"/>
  <c r="H116" i="31"/>
  <c r="H114" i="31"/>
  <c r="H113" i="31"/>
  <c r="H112" i="31"/>
  <c r="H110" i="31"/>
  <c r="H109" i="31"/>
  <c r="H108" i="31"/>
  <c r="H107" i="31"/>
  <c r="H106" i="31"/>
  <c r="H104" i="31"/>
  <c r="H103" i="31"/>
  <c r="H102" i="31"/>
  <c r="H100" i="31"/>
  <c r="H99" i="31"/>
  <c r="H98" i="31"/>
  <c r="H97" i="31"/>
  <c r="H96" i="31"/>
  <c r="H94" i="31"/>
  <c r="H93" i="31"/>
  <c r="H92" i="31"/>
  <c r="H90" i="31"/>
  <c r="H89" i="31"/>
  <c r="H88" i="31"/>
  <c r="H87" i="31"/>
  <c r="H86" i="31"/>
  <c r="H84" i="31"/>
  <c r="H83" i="31"/>
  <c r="H82" i="31"/>
  <c r="I77" i="31"/>
  <c r="C77" i="31"/>
  <c r="I76" i="31"/>
  <c r="C76" i="31"/>
  <c r="I75" i="31"/>
  <c r="C75" i="31"/>
  <c r="I74" i="31"/>
  <c r="C74" i="31"/>
  <c r="I73" i="31"/>
  <c r="C73" i="31"/>
  <c r="I72" i="31"/>
  <c r="C72" i="31"/>
  <c r="I71" i="31"/>
  <c r="C71" i="31"/>
  <c r="I70" i="31"/>
  <c r="C70" i="31"/>
  <c r="I69" i="31"/>
  <c r="C69" i="31"/>
  <c r="I68" i="31"/>
  <c r="C68" i="31"/>
  <c r="I67" i="31"/>
  <c r="C67" i="31"/>
  <c r="I66" i="31"/>
  <c r="C66" i="31"/>
  <c r="I65" i="31"/>
  <c r="C65" i="31"/>
  <c r="I64" i="31"/>
  <c r="C64" i="31"/>
  <c r="I63" i="31"/>
  <c r="C63" i="31"/>
  <c r="I62" i="31"/>
  <c r="C62" i="31"/>
  <c r="I61" i="31"/>
  <c r="C61" i="31"/>
  <c r="I60" i="31"/>
  <c r="C60" i="31"/>
  <c r="I59" i="31"/>
  <c r="C59" i="31"/>
  <c r="I58" i="31"/>
  <c r="C58" i="31"/>
  <c r="I57" i="31"/>
  <c r="C57" i="31"/>
  <c r="I56" i="31"/>
  <c r="C56" i="31"/>
  <c r="I55" i="31"/>
  <c r="C55" i="31"/>
  <c r="I54" i="31"/>
  <c r="C54" i="31"/>
  <c r="I53" i="31"/>
  <c r="C53" i="31"/>
  <c r="I52" i="31"/>
  <c r="C52" i="31"/>
  <c r="I51" i="31"/>
  <c r="C51" i="31"/>
  <c r="I50" i="31"/>
  <c r="C50" i="31"/>
  <c r="I49" i="31"/>
  <c r="C49" i="31"/>
  <c r="I48" i="31"/>
  <c r="C48" i="31"/>
  <c r="I47" i="31"/>
  <c r="C47" i="31"/>
  <c r="I46" i="31"/>
  <c r="E46" i="31"/>
  <c r="D46" i="31"/>
  <c r="C46" i="31"/>
  <c r="C36" i="31"/>
  <c r="C35" i="31"/>
  <c r="C34" i="31"/>
  <c r="C33" i="31"/>
  <c r="C32" i="31"/>
  <c r="C10" i="31"/>
  <c r="C9" i="31"/>
  <c r="C8" i="31"/>
  <c r="C7" i="31"/>
  <c r="C6" i="31"/>
  <c r="C5" i="31"/>
  <c r="K131" i="30"/>
  <c r="H130" i="30"/>
  <c r="H129" i="30"/>
  <c r="H128" i="30"/>
  <c r="H127" i="30"/>
  <c r="H126" i="30"/>
  <c r="H124" i="30"/>
  <c r="H123" i="30"/>
  <c r="H122" i="30"/>
  <c r="H120" i="30"/>
  <c r="H119" i="30"/>
  <c r="H118" i="30"/>
  <c r="H117" i="30"/>
  <c r="H116" i="30"/>
  <c r="H114" i="30"/>
  <c r="H113" i="30"/>
  <c r="H112" i="30"/>
  <c r="H110" i="30"/>
  <c r="H109" i="30"/>
  <c r="H108" i="30"/>
  <c r="H107" i="30"/>
  <c r="H106" i="30"/>
  <c r="H104" i="30"/>
  <c r="H103" i="30"/>
  <c r="H102" i="30"/>
  <c r="H100" i="30"/>
  <c r="H99" i="30"/>
  <c r="H98" i="30"/>
  <c r="H97" i="30"/>
  <c r="H96" i="30"/>
  <c r="H94" i="30"/>
  <c r="H93" i="30"/>
  <c r="H92" i="30"/>
  <c r="H90" i="30"/>
  <c r="H89" i="30"/>
  <c r="H88" i="30"/>
  <c r="H87" i="30"/>
  <c r="H86" i="30"/>
  <c r="H84" i="30"/>
  <c r="H83" i="30"/>
  <c r="H82" i="30"/>
  <c r="I77" i="30"/>
  <c r="C77" i="30"/>
  <c r="I76" i="30"/>
  <c r="C76" i="30"/>
  <c r="I75" i="30"/>
  <c r="C75" i="30"/>
  <c r="I74" i="30"/>
  <c r="C74" i="30"/>
  <c r="I73" i="30"/>
  <c r="C73" i="30"/>
  <c r="I72" i="30"/>
  <c r="C72" i="30"/>
  <c r="I71" i="30"/>
  <c r="C71" i="30"/>
  <c r="I70" i="30"/>
  <c r="C70" i="30"/>
  <c r="I69" i="30"/>
  <c r="C69" i="30"/>
  <c r="I68" i="30"/>
  <c r="C68" i="30"/>
  <c r="I67" i="30"/>
  <c r="C67" i="30"/>
  <c r="I66" i="30"/>
  <c r="C66" i="30"/>
  <c r="I65" i="30"/>
  <c r="C65" i="30"/>
  <c r="I64" i="30"/>
  <c r="C64" i="30"/>
  <c r="I63" i="30"/>
  <c r="C63" i="30"/>
  <c r="I62" i="30"/>
  <c r="C62" i="30"/>
  <c r="I61" i="30"/>
  <c r="C61" i="30"/>
  <c r="I60" i="30"/>
  <c r="C60" i="30"/>
  <c r="I59" i="30"/>
  <c r="C59" i="30"/>
  <c r="I58" i="30"/>
  <c r="C58" i="30"/>
  <c r="I57" i="30"/>
  <c r="C57" i="30"/>
  <c r="I56" i="30"/>
  <c r="C56" i="30"/>
  <c r="I55" i="30"/>
  <c r="C55" i="30"/>
  <c r="I54" i="30"/>
  <c r="C54" i="30"/>
  <c r="I53" i="30"/>
  <c r="C53" i="30"/>
  <c r="I52" i="30"/>
  <c r="C52" i="30"/>
  <c r="I51" i="30"/>
  <c r="C51" i="30"/>
  <c r="I50" i="30"/>
  <c r="C50" i="30"/>
  <c r="I49" i="30"/>
  <c r="C49" i="30"/>
  <c r="I48" i="30"/>
  <c r="C48" i="30"/>
  <c r="I47" i="30"/>
  <c r="C47" i="30"/>
  <c r="I46" i="30"/>
  <c r="E46" i="30"/>
  <c r="D46" i="30"/>
  <c r="C46" i="30"/>
  <c r="D127" i="30" s="1"/>
  <c r="C36" i="30"/>
  <c r="C35" i="30"/>
  <c r="C34" i="30"/>
  <c r="C33" i="30"/>
  <c r="C32" i="30"/>
  <c r="C10" i="30"/>
  <c r="C9" i="30"/>
  <c r="C8" i="30"/>
  <c r="C7" i="30"/>
  <c r="C6" i="30"/>
  <c r="C5" i="30"/>
  <c r="K131" i="29"/>
  <c r="H130" i="29"/>
  <c r="H129" i="29"/>
  <c r="H128" i="29"/>
  <c r="H127" i="29"/>
  <c r="H126" i="29"/>
  <c r="H124" i="29"/>
  <c r="H123" i="29"/>
  <c r="H122" i="29"/>
  <c r="H120" i="29"/>
  <c r="H119" i="29"/>
  <c r="H118" i="29"/>
  <c r="H117" i="29"/>
  <c r="H116" i="29"/>
  <c r="H114" i="29"/>
  <c r="H113" i="29"/>
  <c r="H112" i="29"/>
  <c r="H110" i="29"/>
  <c r="H109" i="29"/>
  <c r="H108" i="29"/>
  <c r="H107" i="29"/>
  <c r="H106" i="29"/>
  <c r="H104" i="29"/>
  <c r="H103" i="29"/>
  <c r="H102" i="29"/>
  <c r="H100" i="29"/>
  <c r="H99" i="29"/>
  <c r="H98" i="29"/>
  <c r="H97" i="29"/>
  <c r="H96" i="29"/>
  <c r="H94" i="29"/>
  <c r="H93" i="29"/>
  <c r="H92" i="29"/>
  <c r="H90" i="29"/>
  <c r="H89" i="29"/>
  <c r="H88" i="29"/>
  <c r="H87" i="29"/>
  <c r="H86" i="29"/>
  <c r="H84" i="29"/>
  <c r="H83" i="29"/>
  <c r="H82" i="29"/>
  <c r="I77" i="29"/>
  <c r="C77" i="29"/>
  <c r="I76" i="29"/>
  <c r="C76" i="29"/>
  <c r="I75" i="29"/>
  <c r="C75" i="29"/>
  <c r="I74" i="29"/>
  <c r="C74" i="29"/>
  <c r="I73" i="29"/>
  <c r="C73" i="29"/>
  <c r="I72" i="29"/>
  <c r="C72" i="29"/>
  <c r="I71" i="29"/>
  <c r="C71" i="29"/>
  <c r="I70" i="29"/>
  <c r="C70" i="29"/>
  <c r="I69" i="29"/>
  <c r="C69" i="29"/>
  <c r="I68" i="29"/>
  <c r="C68" i="29"/>
  <c r="I67" i="29"/>
  <c r="C67" i="29"/>
  <c r="I66" i="29"/>
  <c r="C66" i="29"/>
  <c r="I65" i="29"/>
  <c r="C65" i="29"/>
  <c r="I64" i="29"/>
  <c r="C64" i="29"/>
  <c r="I63" i="29"/>
  <c r="C63" i="29"/>
  <c r="I62" i="29"/>
  <c r="C62" i="29"/>
  <c r="I61" i="29"/>
  <c r="C61" i="29"/>
  <c r="I60" i="29"/>
  <c r="C60" i="29"/>
  <c r="I59" i="29"/>
  <c r="C59" i="29"/>
  <c r="I58" i="29"/>
  <c r="C58" i="29"/>
  <c r="I57" i="29"/>
  <c r="C57" i="29"/>
  <c r="I56" i="29"/>
  <c r="C56" i="29"/>
  <c r="I55" i="29"/>
  <c r="C55" i="29"/>
  <c r="I54" i="29"/>
  <c r="C54" i="29"/>
  <c r="I53" i="29"/>
  <c r="C53" i="29"/>
  <c r="I52" i="29"/>
  <c r="C52" i="29"/>
  <c r="I51" i="29"/>
  <c r="C51" i="29"/>
  <c r="I50" i="29"/>
  <c r="C50" i="29"/>
  <c r="I49" i="29"/>
  <c r="C49" i="29"/>
  <c r="I48" i="29"/>
  <c r="C48" i="29"/>
  <c r="I47" i="29"/>
  <c r="C47" i="29"/>
  <c r="I46" i="29"/>
  <c r="E46" i="29"/>
  <c r="D46" i="29"/>
  <c r="C46" i="29"/>
  <c r="D127" i="29" s="1"/>
  <c r="C36" i="29"/>
  <c r="C35" i="29"/>
  <c r="C34" i="29"/>
  <c r="C33" i="29"/>
  <c r="C32" i="29"/>
  <c r="C10" i="29"/>
  <c r="C9" i="29"/>
  <c r="C8" i="29"/>
  <c r="C7" i="29"/>
  <c r="C6" i="29"/>
  <c r="C5" i="29"/>
  <c r="C34" i="12"/>
  <c r="C33" i="12"/>
  <c r="C32" i="12"/>
  <c r="C31" i="12"/>
  <c r="C30" i="12"/>
  <c r="E117" i="32" l="1"/>
  <c r="E108" i="35"/>
  <c r="D127" i="31"/>
  <c r="I78" i="32"/>
  <c r="E83" i="35"/>
  <c r="I78" i="31"/>
  <c r="E127" i="31"/>
  <c r="I78" i="30"/>
  <c r="E98" i="35"/>
  <c r="E82" i="31"/>
  <c r="E123" i="35"/>
  <c r="D127" i="34"/>
  <c r="E88" i="35"/>
  <c r="E113" i="35"/>
  <c r="I78" i="34"/>
  <c r="I78" i="35"/>
  <c r="E103" i="35"/>
  <c r="D127" i="32"/>
  <c r="E128" i="35"/>
  <c r="I78" i="29"/>
  <c r="E93" i="35"/>
  <c r="I78" i="33"/>
  <c r="E82" i="34"/>
  <c r="E118" i="35"/>
  <c r="E82" i="35"/>
  <c r="E87" i="35"/>
  <c r="E92" i="35"/>
  <c r="E97" i="35"/>
  <c r="E102" i="35"/>
  <c r="E107" i="35"/>
  <c r="E112" i="35"/>
  <c r="E117" i="35"/>
  <c r="E122" i="35"/>
  <c r="E127" i="35"/>
  <c r="D83" i="35"/>
  <c r="D88" i="35"/>
  <c r="D93" i="35"/>
  <c r="D98" i="35"/>
  <c r="D103" i="35"/>
  <c r="D108" i="35"/>
  <c r="D113" i="35"/>
  <c r="D118" i="35"/>
  <c r="D123" i="35"/>
  <c r="D128" i="35"/>
  <c r="D84" i="35"/>
  <c r="D89" i="35"/>
  <c r="D94" i="35"/>
  <c r="D99" i="35"/>
  <c r="D104" i="35"/>
  <c r="D109" i="35"/>
  <c r="D114" i="35"/>
  <c r="D119" i="35"/>
  <c r="D124" i="35"/>
  <c r="D129" i="35"/>
  <c r="E84" i="35"/>
  <c r="E89" i="35"/>
  <c r="E94" i="35"/>
  <c r="E99" i="35"/>
  <c r="E104" i="35"/>
  <c r="E109" i="35"/>
  <c r="E114" i="35"/>
  <c r="E119" i="35"/>
  <c r="E124" i="35"/>
  <c r="E129" i="35"/>
  <c r="D86" i="35"/>
  <c r="D90" i="35"/>
  <c r="D96" i="35"/>
  <c r="D100" i="35"/>
  <c r="D106" i="35"/>
  <c r="D110" i="35"/>
  <c r="D116" i="35"/>
  <c r="D120" i="35"/>
  <c r="D126" i="35"/>
  <c r="D130" i="35"/>
  <c r="E86" i="35"/>
  <c r="E90" i="35"/>
  <c r="E96" i="35"/>
  <c r="E100" i="35"/>
  <c r="E106" i="35"/>
  <c r="E110" i="35"/>
  <c r="E116" i="35"/>
  <c r="E120" i="35"/>
  <c r="E126" i="35"/>
  <c r="E130" i="35"/>
  <c r="D82" i="35"/>
  <c r="D87" i="35"/>
  <c r="D92" i="35"/>
  <c r="D97" i="35"/>
  <c r="D102" i="35"/>
  <c r="D107" i="35"/>
  <c r="D112" i="35"/>
  <c r="D117" i="35"/>
  <c r="D122" i="35"/>
  <c r="E87" i="34"/>
  <c r="E92" i="34"/>
  <c r="E97" i="34"/>
  <c r="E102" i="34"/>
  <c r="E107" i="34"/>
  <c r="E112" i="34"/>
  <c r="E117" i="34"/>
  <c r="E122" i="34"/>
  <c r="D83" i="34"/>
  <c r="D88" i="34"/>
  <c r="D93" i="34"/>
  <c r="D98" i="34"/>
  <c r="D103" i="34"/>
  <c r="D108" i="34"/>
  <c r="D113" i="34"/>
  <c r="D118" i="34"/>
  <c r="D123" i="34"/>
  <c r="D128" i="34"/>
  <c r="E83" i="34"/>
  <c r="E88" i="34"/>
  <c r="E93" i="34"/>
  <c r="E98" i="34"/>
  <c r="E103" i="34"/>
  <c r="E108" i="34"/>
  <c r="E113" i="34"/>
  <c r="E118" i="34"/>
  <c r="E123" i="34"/>
  <c r="E128" i="34"/>
  <c r="D84" i="34"/>
  <c r="D89" i="34"/>
  <c r="D94" i="34"/>
  <c r="D99" i="34"/>
  <c r="D104" i="34"/>
  <c r="D109" i="34"/>
  <c r="D114" i="34"/>
  <c r="D119" i="34"/>
  <c r="D124" i="34"/>
  <c r="D129" i="34"/>
  <c r="E84" i="34"/>
  <c r="E89" i="34"/>
  <c r="E94" i="34"/>
  <c r="E99" i="34"/>
  <c r="E104" i="34"/>
  <c r="E109" i="34"/>
  <c r="E114" i="34"/>
  <c r="E119" i="34"/>
  <c r="E124" i="34"/>
  <c r="E129" i="34"/>
  <c r="D86" i="34"/>
  <c r="D90" i="34"/>
  <c r="D96" i="34"/>
  <c r="D100" i="34"/>
  <c r="D106" i="34"/>
  <c r="D110" i="34"/>
  <c r="D116" i="34"/>
  <c r="D120" i="34"/>
  <c r="D126" i="34"/>
  <c r="D130" i="34"/>
  <c r="E86" i="34"/>
  <c r="E90" i="34"/>
  <c r="E96" i="34"/>
  <c r="E100" i="34"/>
  <c r="E106" i="34"/>
  <c r="E110" i="34"/>
  <c r="E116" i="34"/>
  <c r="E120" i="34"/>
  <c r="E126" i="34"/>
  <c r="E130" i="34"/>
  <c r="D82" i="34"/>
  <c r="D87" i="34"/>
  <c r="D92" i="34"/>
  <c r="D97" i="34"/>
  <c r="D102" i="34"/>
  <c r="D107" i="34"/>
  <c r="D112" i="34"/>
  <c r="D117" i="34"/>
  <c r="D122" i="34"/>
  <c r="E82" i="33"/>
  <c r="E87" i="33"/>
  <c r="E92" i="33"/>
  <c r="E97" i="33"/>
  <c r="E102" i="33"/>
  <c r="E107" i="33"/>
  <c r="E112" i="33"/>
  <c r="E117" i="33"/>
  <c r="E122" i="33"/>
  <c r="E127" i="33"/>
  <c r="D83" i="33"/>
  <c r="D88" i="33"/>
  <c r="D93" i="33"/>
  <c r="D98" i="33"/>
  <c r="D103" i="33"/>
  <c r="D108" i="33"/>
  <c r="D113" i="33"/>
  <c r="D118" i="33"/>
  <c r="D123" i="33"/>
  <c r="D128" i="33"/>
  <c r="E83" i="33"/>
  <c r="E88" i="33"/>
  <c r="E93" i="33"/>
  <c r="E98" i="33"/>
  <c r="E103" i="33"/>
  <c r="E108" i="33"/>
  <c r="E113" i="33"/>
  <c r="E118" i="33"/>
  <c r="E123" i="33"/>
  <c r="E128" i="33"/>
  <c r="D84" i="33"/>
  <c r="D89" i="33"/>
  <c r="D94" i="33"/>
  <c r="D99" i="33"/>
  <c r="D104" i="33"/>
  <c r="D109" i="33"/>
  <c r="D114" i="33"/>
  <c r="D119" i="33"/>
  <c r="D124" i="33"/>
  <c r="D129" i="33"/>
  <c r="E84" i="33"/>
  <c r="E89" i="33"/>
  <c r="E94" i="33"/>
  <c r="E99" i="33"/>
  <c r="E104" i="33"/>
  <c r="E109" i="33"/>
  <c r="E114" i="33"/>
  <c r="E119" i="33"/>
  <c r="E124" i="33"/>
  <c r="E129" i="33"/>
  <c r="D86" i="33"/>
  <c r="D90" i="33"/>
  <c r="D96" i="33"/>
  <c r="D100" i="33"/>
  <c r="D106" i="33"/>
  <c r="D110" i="33"/>
  <c r="D116" i="33"/>
  <c r="D120" i="33"/>
  <c r="D126" i="33"/>
  <c r="D130" i="33"/>
  <c r="E86" i="33"/>
  <c r="E90" i="33"/>
  <c r="E96" i="33"/>
  <c r="E100" i="33"/>
  <c r="E106" i="33"/>
  <c r="E110" i="33"/>
  <c r="E116" i="33"/>
  <c r="E120" i="33"/>
  <c r="E126" i="33"/>
  <c r="E130" i="33"/>
  <c r="D82" i="33"/>
  <c r="D87" i="33"/>
  <c r="D92" i="33"/>
  <c r="D97" i="33"/>
  <c r="D102" i="33"/>
  <c r="D107" i="33"/>
  <c r="D112" i="33"/>
  <c r="D117" i="33"/>
  <c r="D122" i="33"/>
  <c r="E87" i="32"/>
  <c r="E97" i="32"/>
  <c r="E112" i="32"/>
  <c r="E127" i="32"/>
  <c r="D83" i="32"/>
  <c r="D88" i="32"/>
  <c r="D93" i="32"/>
  <c r="D98" i="32"/>
  <c r="D103" i="32"/>
  <c r="D108" i="32"/>
  <c r="D113" i="32"/>
  <c r="D118" i="32"/>
  <c r="D123" i="32"/>
  <c r="D128" i="32"/>
  <c r="E102" i="32"/>
  <c r="E107" i="32"/>
  <c r="E122" i="32"/>
  <c r="E83" i="32"/>
  <c r="E88" i="32"/>
  <c r="E93" i="32"/>
  <c r="E98" i="32"/>
  <c r="E103" i="32"/>
  <c r="E108" i="32"/>
  <c r="E113" i="32"/>
  <c r="E118" i="32"/>
  <c r="E123" i="32"/>
  <c r="E128" i="32"/>
  <c r="E92" i="32"/>
  <c r="D84" i="32"/>
  <c r="D89" i="32"/>
  <c r="D94" i="32"/>
  <c r="D99" i="32"/>
  <c r="D104" i="32"/>
  <c r="D109" i="32"/>
  <c r="D114" i="32"/>
  <c r="D119" i="32"/>
  <c r="D124" i="32"/>
  <c r="D129" i="32"/>
  <c r="E84" i="32"/>
  <c r="E89" i="32"/>
  <c r="E94" i="32"/>
  <c r="E99" i="32"/>
  <c r="E104" i="32"/>
  <c r="E109" i="32"/>
  <c r="E114" i="32"/>
  <c r="E119" i="32"/>
  <c r="E124" i="32"/>
  <c r="E129" i="32"/>
  <c r="D86" i="32"/>
  <c r="D90" i="32"/>
  <c r="D96" i="32"/>
  <c r="D100" i="32"/>
  <c r="D106" i="32"/>
  <c r="D110" i="32"/>
  <c r="D116" i="32"/>
  <c r="D120" i="32"/>
  <c r="D126" i="32"/>
  <c r="D130" i="32"/>
  <c r="E86" i="32"/>
  <c r="E90" i="32"/>
  <c r="E96" i="32"/>
  <c r="E100" i="32"/>
  <c r="E106" i="32"/>
  <c r="E110" i="32"/>
  <c r="E116" i="32"/>
  <c r="E120" i="32"/>
  <c r="E126" i="32"/>
  <c r="E130" i="32"/>
  <c r="D82" i="32"/>
  <c r="D87" i="32"/>
  <c r="D92" i="32"/>
  <c r="D97" i="32"/>
  <c r="D102" i="32"/>
  <c r="D107" i="32"/>
  <c r="D112" i="32"/>
  <c r="D117" i="32"/>
  <c r="D122" i="32"/>
  <c r="E87" i="31"/>
  <c r="E92" i="31"/>
  <c r="E97" i="31"/>
  <c r="E102" i="31"/>
  <c r="E107" i="31"/>
  <c r="E112" i="31"/>
  <c r="E117" i="31"/>
  <c r="E122" i="31"/>
  <c r="D83" i="31"/>
  <c r="D88" i="31"/>
  <c r="D93" i="31"/>
  <c r="D98" i="31"/>
  <c r="D103" i="31"/>
  <c r="D108" i="31"/>
  <c r="D113" i="31"/>
  <c r="D118" i="31"/>
  <c r="D123" i="31"/>
  <c r="D128" i="31"/>
  <c r="E83" i="31"/>
  <c r="E88" i="31"/>
  <c r="E93" i="31"/>
  <c r="E98" i="31"/>
  <c r="E103" i="31"/>
  <c r="E108" i="31"/>
  <c r="E113" i="31"/>
  <c r="E118" i="31"/>
  <c r="E123" i="31"/>
  <c r="E128" i="31"/>
  <c r="D84" i="31"/>
  <c r="D89" i="31"/>
  <c r="D94" i="31"/>
  <c r="D99" i="31"/>
  <c r="D104" i="31"/>
  <c r="D109" i="31"/>
  <c r="D114" i="31"/>
  <c r="D119" i="31"/>
  <c r="D124" i="31"/>
  <c r="D129" i="31"/>
  <c r="E84" i="31"/>
  <c r="E89" i="31"/>
  <c r="E94" i="31"/>
  <c r="E99" i="31"/>
  <c r="E104" i="31"/>
  <c r="E109" i="31"/>
  <c r="E114" i="31"/>
  <c r="E119" i="31"/>
  <c r="E124" i="31"/>
  <c r="E129" i="31"/>
  <c r="D86" i="31"/>
  <c r="D90" i="31"/>
  <c r="D96" i="31"/>
  <c r="D100" i="31"/>
  <c r="D106" i="31"/>
  <c r="D110" i="31"/>
  <c r="D116" i="31"/>
  <c r="D120" i="31"/>
  <c r="D126" i="31"/>
  <c r="D130" i="31"/>
  <c r="E86" i="31"/>
  <c r="E90" i="31"/>
  <c r="E96" i="31"/>
  <c r="E100" i="31"/>
  <c r="E106" i="31"/>
  <c r="E110" i="31"/>
  <c r="E116" i="31"/>
  <c r="E120" i="31"/>
  <c r="E126" i="31"/>
  <c r="E130" i="31"/>
  <c r="D82" i="31"/>
  <c r="D87" i="31"/>
  <c r="D92" i="31"/>
  <c r="D97" i="31"/>
  <c r="D102" i="31"/>
  <c r="D107" i="31"/>
  <c r="D112" i="31"/>
  <c r="D117" i="31"/>
  <c r="D122" i="31"/>
  <c r="E82" i="30"/>
  <c r="E87" i="30"/>
  <c r="E92" i="30"/>
  <c r="E97" i="30"/>
  <c r="E102" i="30"/>
  <c r="E107" i="30"/>
  <c r="E112" i="30"/>
  <c r="E117" i="30"/>
  <c r="E122" i="30"/>
  <c r="E127" i="30"/>
  <c r="D83" i="30"/>
  <c r="D88" i="30"/>
  <c r="D93" i="30"/>
  <c r="D98" i="30"/>
  <c r="D103" i="30"/>
  <c r="D108" i="30"/>
  <c r="D113" i="30"/>
  <c r="D118" i="30"/>
  <c r="D123" i="30"/>
  <c r="D128" i="30"/>
  <c r="E83" i="30"/>
  <c r="E88" i="30"/>
  <c r="E93" i="30"/>
  <c r="E98" i="30"/>
  <c r="E103" i="30"/>
  <c r="E108" i="30"/>
  <c r="E113" i="30"/>
  <c r="E118" i="30"/>
  <c r="E123" i="30"/>
  <c r="E128" i="30"/>
  <c r="D84" i="30"/>
  <c r="D89" i="30"/>
  <c r="D94" i="30"/>
  <c r="D99" i="30"/>
  <c r="D104" i="30"/>
  <c r="D109" i="30"/>
  <c r="D114" i="30"/>
  <c r="D119" i="30"/>
  <c r="D124" i="30"/>
  <c r="D129" i="30"/>
  <c r="E84" i="30"/>
  <c r="E89" i="30"/>
  <c r="E94" i="30"/>
  <c r="E99" i="30"/>
  <c r="E104" i="30"/>
  <c r="E109" i="30"/>
  <c r="E114" i="30"/>
  <c r="E119" i="30"/>
  <c r="E124" i="30"/>
  <c r="E129" i="30"/>
  <c r="D86" i="30"/>
  <c r="D90" i="30"/>
  <c r="D96" i="30"/>
  <c r="D100" i="30"/>
  <c r="D106" i="30"/>
  <c r="D110" i="30"/>
  <c r="D116" i="30"/>
  <c r="D120" i="30"/>
  <c r="D126" i="30"/>
  <c r="D130" i="30"/>
  <c r="E86" i="30"/>
  <c r="E90" i="30"/>
  <c r="E96" i="30"/>
  <c r="E100" i="30"/>
  <c r="E106" i="30"/>
  <c r="E110" i="30"/>
  <c r="E116" i="30"/>
  <c r="E120" i="30"/>
  <c r="E126" i="30"/>
  <c r="E130" i="30"/>
  <c r="D82" i="30"/>
  <c r="D87" i="30"/>
  <c r="D92" i="30"/>
  <c r="D97" i="30"/>
  <c r="D102" i="30"/>
  <c r="D107" i="30"/>
  <c r="D112" i="30"/>
  <c r="D117" i="30"/>
  <c r="D122" i="30"/>
  <c r="E82" i="29"/>
  <c r="E87" i="29"/>
  <c r="E92" i="29"/>
  <c r="E97" i="29"/>
  <c r="E102" i="29"/>
  <c r="E107" i="29"/>
  <c r="E112" i="29"/>
  <c r="E117" i="29"/>
  <c r="E122" i="29"/>
  <c r="E127" i="29"/>
  <c r="D83" i="29"/>
  <c r="D88" i="29"/>
  <c r="D93" i="29"/>
  <c r="D98" i="29"/>
  <c r="D103" i="29"/>
  <c r="D108" i="29"/>
  <c r="D113" i="29"/>
  <c r="D118" i="29"/>
  <c r="D123" i="29"/>
  <c r="D128" i="29"/>
  <c r="E83" i="29"/>
  <c r="E88" i="29"/>
  <c r="E93" i="29"/>
  <c r="E98" i="29"/>
  <c r="E103" i="29"/>
  <c r="E108" i="29"/>
  <c r="E113" i="29"/>
  <c r="E118" i="29"/>
  <c r="E123" i="29"/>
  <c r="E128" i="29"/>
  <c r="D84" i="29"/>
  <c r="D89" i="29"/>
  <c r="D94" i="29"/>
  <c r="D99" i="29"/>
  <c r="D104" i="29"/>
  <c r="D109" i="29"/>
  <c r="D114" i="29"/>
  <c r="D119" i="29"/>
  <c r="D124" i="29"/>
  <c r="D129" i="29"/>
  <c r="E84" i="29"/>
  <c r="E89" i="29"/>
  <c r="E94" i="29"/>
  <c r="E99" i="29"/>
  <c r="E104" i="29"/>
  <c r="E109" i="29"/>
  <c r="E114" i="29"/>
  <c r="E119" i="29"/>
  <c r="E124" i="29"/>
  <c r="E129" i="29"/>
  <c r="D86" i="29"/>
  <c r="D90" i="29"/>
  <c r="D96" i="29"/>
  <c r="D100" i="29"/>
  <c r="D106" i="29"/>
  <c r="D110" i="29"/>
  <c r="D116" i="29"/>
  <c r="D120" i="29"/>
  <c r="D126" i="29"/>
  <c r="D130" i="29"/>
  <c r="E86" i="29"/>
  <c r="E90" i="29"/>
  <c r="E96" i="29"/>
  <c r="E100" i="29"/>
  <c r="E106" i="29"/>
  <c r="E110" i="29"/>
  <c r="E116" i="29"/>
  <c r="E120" i="29"/>
  <c r="E126" i="29"/>
  <c r="E130" i="29"/>
  <c r="D82" i="29"/>
  <c r="D87" i="29"/>
  <c r="D92" i="29"/>
  <c r="D97" i="29"/>
  <c r="D102" i="29"/>
  <c r="D107" i="29"/>
  <c r="D112" i="29"/>
  <c r="D117" i="29"/>
  <c r="D122" i="29"/>
  <c r="A46" i="13"/>
  <c r="A47" i="13"/>
  <c r="A48" i="13"/>
  <c r="A49" i="13"/>
  <c r="A50" i="13"/>
  <c r="A51" i="13"/>
  <c r="A52" i="13"/>
  <c r="A45" i="13"/>
  <c r="A44" i="13"/>
  <c r="F63" i="35" l="1"/>
  <c r="F74" i="35"/>
  <c r="F70" i="35"/>
  <c r="F66" i="35"/>
  <c r="F62" i="35"/>
  <c r="F58" i="35"/>
  <c r="F54" i="35"/>
  <c r="F50" i="35"/>
  <c r="F77" i="35"/>
  <c r="F73" i="35"/>
  <c r="F69" i="35"/>
  <c r="F65" i="35"/>
  <c r="F61" i="35"/>
  <c r="F57" i="35"/>
  <c r="F53" i="35"/>
  <c r="F49" i="35"/>
  <c r="F75" i="35"/>
  <c r="F59" i="35"/>
  <c r="F67" i="35"/>
  <c r="F51" i="35"/>
  <c r="F76" i="35"/>
  <c r="F72" i="35"/>
  <c r="F68" i="35"/>
  <c r="F64" i="35"/>
  <c r="F60" i="35"/>
  <c r="F56" i="35"/>
  <c r="F52" i="35"/>
  <c r="F48" i="35"/>
  <c r="F71" i="35"/>
  <c r="F55" i="35"/>
  <c r="F47" i="35"/>
  <c r="F46" i="35"/>
  <c r="F74" i="34"/>
  <c r="F70" i="34"/>
  <c r="F66" i="34"/>
  <c r="F62" i="34"/>
  <c r="F58" i="34"/>
  <c r="F54" i="34"/>
  <c r="F50" i="34"/>
  <c r="F77" i="34"/>
  <c r="F73" i="34"/>
  <c r="F69" i="34"/>
  <c r="F65" i="34"/>
  <c r="F61" i="34"/>
  <c r="F57" i="34"/>
  <c r="F53" i="34"/>
  <c r="F49" i="34"/>
  <c r="F71" i="34"/>
  <c r="F55" i="34"/>
  <c r="F76" i="34"/>
  <c r="F72" i="34"/>
  <c r="F68" i="34"/>
  <c r="F64" i="34"/>
  <c r="F60" i="34"/>
  <c r="F56" i="34"/>
  <c r="F52" i="34"/>
  <c r="F48" i="34"/>
  <c r="F63" i="34"/>
  <c r="F51" i="34"/>
  <c r="F67" i="34"/>
  <c r="F47" i="34"/>
  <c r="F75" i="34"/>
  <c r="F59" i="34"/>
  <c r="F46" i="34"/>
  <c r="F74" i="33"/>
  <c r="F70" i="33"/>
  <c r="F66" i="33"/>
  <c r="F62" i="33"/>
  <c r="F58" i="33"/>
  <c r="F54" i="33"/>
  <c r="F50" i="33"/>
  <c r="F77" i="33"/>
  <c r="F73" i="33"/>
  <c r="F69" i="33"/>
  <c r="F65" i="33"/>
  <c r="F61" i="33"/>
  <c r="F57" i="33"/>
  <c r="F53" i="33"/>
  <c r="F49" i="33"/>
  <c r="F55" i="33"/>
  <c r="F68" i="33"/>
  <c r="F60" i="33"/>
  <c r="F52" i="33"/>
  <c r="F67" i="33"/>
  <c r="F63" i="33"/>
  <c r="F76" i="33"/>
  <c r="F72" i="33"/>
  <c r="F64" i="33"/>
  <c r="F56" i="33"/>
  <c r="F48" i="33"/>
  <c r="F51" i="33"/>
  <c r="F75" i="33"/>
  <c r="F59" i="33"/>
  <c r="F71" i="33"/>
  <c r="F47" i="33"/>
  <c r="F46" i="33"/>
  <c r="F74" i="32"/>
  <c r="F70" i="32"/>
  <c r="F66" i="32"/>
  <c r="F62" i="32"/>
  <c r="F58" i="32"/>
  <c r="F54" i="32"/>
  <c r="F50" i="32"/>
  <c r="F77" i="32"/>
  <c r="F73" i="32"/>
  <c r="F69" i="32"/>
  <c r="F65" i="32"/>
  <c r="F61" i="32"/>
  <c r="F57" i="32"/>
  <c r="F53" i="32"/>
  <c r="F49" i="32"/>
  <c r="F76" i="32"/>
  <c r="F72" i="32"/>
  <c r="F68" i="32"/>
  <c r="F64" i="32"/>
  <c r="F60" i="32"/>
  <c r="F56" i="32"/>
  <c r="F52" i="32"/>
  <c r="F48" i="32"/>
  <c r="F71" i="32"/>
  <c r="F59" i="32"/>
  <c r="F47" i="32"/>
  <c r="F75" i="32"/>
  <c r="F63" i="32"/>
  <c r="F51" i="32"/>
  <c r="F67" i="32"/>
  <c r="F55" i="32"/>
  <c r="F46" i="32"/>
  <c r="F74" i="31"/>
  <c r="F70" i="31"/>
  <c r="F66" i="31"/>
  <c r="F62" i="31"/>
  <c r="F58" i="31"/>
  <c r="F54" i="31"/>
  <c r="F50" i="31"/>
  <c r="F77" i="31"/>
  <c r="F73" i="31"/>
  <c r="F69" i="31"/>
  <c r="F65" i="31"/>
  <c r="F61" i="31"/>
  <c r="F57" i="31"/>
  <c r="F53" i="31"/>
  <c r="F49" i="31"/>
  <c r="F76" i="31"/>
  <c r="F72" i="31"/>
  <c r="F68" i="31"/>
  <c r="F64" i="31"/>
  <c r="F60" i="31"/>
  <c r="F56" i="31"/>
  <c r="F52" i="31"/>
  <c r="F48" i="31"/>
  <c r="F75" i="31"/>
  <c r="F71" i="31"/>
  <c r="F67" i="31"/>
  <c r="F63" i="31"/>
  <c r="F59" i="31"/>
  <c r="F55" i="31"/>
  <c r="F51" i="31"/>
  <c r="F47" i="31"/>
  <c r="F46" i="31"/>
  <c r="F74" i="30"/>
  <c r="F70" i="30"/>
  <c r="F66" i="30"/>
  <c r="F62" i="30"/>
  <c r="F58" i="30"/>
  <c r="F54" i="30"/>
  <c r="F50" i="30"/>
  <c r="F67" i="30"/>
  <c r="F75" i="30"/>
  <c r="F51" i="30"/>
  <c r="F55" i="30"/>
  <c r="F77" i="30"/>
  <c r="F73" i="30"/>
  <c r="F69" i="30"/>
  <c r="F65" i="30"/>
  <c r="F61" i="30"/>
  <c r="F57" i="30"/>
  <c r="F53" i="30"/>
  <c r="F49" i="30"/>
  <c r="F59" i="30"/>
  <c r="F63" i="30"/>
  <c r="F76" i="30"/>
  <c r="F72" i="30"/>
  <c r="F68" i="30"/>
  <c r="F64" i="30"/>
  <c r="F60" i="30"/>
  <c r="F56" i="30"/>
  <c r="F52" i="30"/>
  <c r="F48" i="30"/>
  <c r="F71" i="30"/>
  <c r="F47" i="30"/>
  <c r="F46" i="30"/>
  <c r="F65" i="29"/>
  <c r="F49" i="29"/>
  <c r="F74" i="29"/>
  <c r="F70" i="29"/>
  <c r="F66" i="29"/>
  <c r="F62" i="29"/>
  <c r="F58" i="29"/>
  <c r="F54" i="29"/>
  <c r="F50" i="29"/>
  <c r="F53" i="29"/>
  <c r="F73" i="29"/>
  <c r="F57" i="29"/>
  <c r="F69" i="29"/>
  <c r="F77" i="29"/>
  <c r="F76" i="29"/>
  <c r="F72" i="29"/>
  <c r="F68" i="29"/>
  <c r="F64" i="29"/>
  <c r="F60" i="29"/>
  <c r="F56" i="29"/>
  <c r="F52" i="29"/>
  <c r="F48" i="29"/>
  <c r="F61" i="29"/>
  <c r="F75" i="29"/>
  <c r="F71" i="29"/>
  <c r="F67" i="29"/>
  <c r="F63" i="29"/>
  <c r="F59" i="29"/>
  <c r="F55" i="29"/>
  <c r="F51" i="29"/>
  <c r="F47" i="29"/>
  <c r="F46" i="29"/>
  <c r="F78" i="30" l="1"/>
  <c r="F78" i="33"/>
  <c r="F78" i="29"/>
  <c r="C31" i="29" s="1"/>
  <c r="F78" i="31"/>
  <c r="F78" i="35"/>
  <c r="F78" i="34"/>
  <c r="C31" i="33"/>
  <c r="C11" i="33"/>
  <c r="F78" i="32"/>
  <c r="C31" i="31"/>
  <c r="C11" i="31"/>
  <c r="C31" i="30"/>
  <c r="C11" i="30"/>
  <c r="C11" i="29" l="1"/>
  <c r="C31" i="35"/>
  <c r="C11" i="35"/>
  <c r="C31" i="34"/>
  <c r="C11" i="34"/>
  <c r="C11" i="32"/>
  <c r="C31" i="32"/>
  <c r="C44" i="12" l="1"/>
  <c r="K129" i="12"/>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2" i="13"/>
  <c r="C2" i="14"/>
  <c r="C3" i="14"/>
  <c r="C4" i="14"/>
  <c r="C5" i="14"/>
  <c r="C6" i="14"/>
  <c r="C7" i="14"/>
  <c r="C8" i="14"/>
  <c r="C9" i="14"/>
  <c r="C10" i="14"/>
  <c r="C11" i="14"/>
  <c r="H128" i="12"/>
  <c r="H127" i="12"/>
  <c r="H126" i="12"/>
  <c r="H125" i="12"/>
  <c r="H124" i="12"/>
  <c r="H122" i="12"/>
  <c r="H121" i="12"/>
  <c r="H120" i="12"/>
  <c r="H118" i="12"/>
  <c r="H117" i="12"/>
  <c r="H116" i="12"/>
  <c r="H115" i="12"/>
  <c r="H114" i="12"/>
  <c r="H112" i="12"/>
  <c r="H111" i="12"/>
  <c r="H110" i="12"/>
  <c r="H108" i="12"/>
  <c r="H107" i="12"/>
  <c r="H106" i="12"/>
  <c r="H105" i="12"/>
  <c r="H104" i="12"/>
  <c r="H102" i="12"/>
  <c r="H101" i="12"/>
  <c r="H100" i="12"/>
  <c r="H98" i="12"/>
  <c r="H97" i="12"/>
  <c r="H96" i="12"/>
  <c r="H95" i="12"/>
  <c r="H94" i="12"/>
  <c r="H92" i="12"/>
  <c r="H91" i="12"/>
  <c r="H90" i="12"/>
  <c r="H88" i="12"/>
  <c r="H87" i="12"/>
  <c r="H86" i="12"/>
  <c r="H85" i="12"/>
  <c r="H84" i="12"/>
  <c r="H82" i="12"/>
  <c r="H81" i="12"/>
  <c r="H80" i="12"/>
  <c r="I75" i="12"/>
  <c r="C75" i="12"/>
  <c r="I74" i="12"/>
  <c r="C74" i="12"/>
  <c r="I73" i="12"/>
  <c r="C73" i="12"/>
  <c r="I72" i="12"/>
  <c r="C72" i="12"/>
  <c r="I71" i="12"/>
  <c r="C71" i="12"/>
  <c r="I70" i="12"/>
  <c r="C70" i="12"/>
  <c r="I69" i="12"/>
  <c r="C69" i="12"/>
  <c r="I68" i="12"/>
  <c r="C68" i="12"/>
  <c r="I67" i="12"/>
  <c r="C67" i="12"/>
  <c r="I66" i="12"/>
  <c r="C66" i="12"/>
  <c r="I65" i="12"/>
  <c r="C65" i="12"/>
  <c r="I64" i="12"/>
  <c r="C64" i="12"/>
  <c r="I63" i="12"/>
  <c r="C63" i="12"/>
  <c r="I62" i="12"/>
  <c r="C62" i="12"/>
  <c r="I61" i="12"/>
  <c r="C61" i="12"/>
  <c r="I60" i="12"/>
  <c r="C60" i="12"/>
  <c r="I59" i="12"/>
  <c r="C59" i="12"/>
  <c r="I58" i="12"/>
  <c r="C58" i="12"/>
  <c r="I57" i="12"/>
  <c r="C57" i="12"/>
  <c r="I56" i="12"/>
  <c r="C56" i="12"/>
  <c r="I55" i="12"/>
  <c r="C55" i="12"/>
  <c r="I54" i="12"/>
  <c r="C54" i="12"/>
  <c r="I53" i="12"/>
  <c r="C53" i="12"/>
  <c r="I52" i="12"/>
  <c r="C52" i="12"/>
  <c r="I51" i="12"/>
  <c r="C51" i="12"/>
  <c r="I50" i="12"/>
  <c r="C50" i="12"/>
  <c r="I49" i="12"/>
  <c r="C49" i="12"/>
  <c r="I48" i="12"/>
  <c r="C48" i="12"/>
  <c r="I47" i="12"/>
  <c r="C47" i="12"/>
  <c r="I46" i="12"/>
  <c r="C46" i="12"/>
  <c r="I45" i="12"/>
  <c r="C45" i="12"/>
  <c r="I44" i="12"/>
  <c r="H98" i="3"/>
  <c r="H97" i="3"/>
  <c r="H96" i="3"/>
  <c r="H95" i="3"/>
  <c r="H94" i="3"/>
  <c r="H92" i="3"/>
  <c r="H91" i="3"/>
  <c r="H90" i="3"/>
  <c r="H88" i="3"/>
  <c r="H87" i="3"/>
  <c r="H86" i="3"/>
  <c r="H85" i="3"/>
  <c r="H84" i="3"/>
  <c r="H82" i="3"/>
  <c r="H81" i="3"/>
  <c r="H80" i="3"/>
  <c r="H78" i="3"/>
  <c r="H77" i="3"/>
  <c r="H76" i="3"/>
  <c r="H75" i="3"/>
  <c r="H74" i="3"/>
  <c r="H72" i="3"/>
  <c r="H71" i="3"/>
  <c r="H70" i="3"/>
  <c r="H68" i="3"/>
  <c r="H67" i="3"/>
  <c r="H66" i="3"/>
  <c r="H65" i="3"/>
  <c r="H64" i="3"/>
  <c r="H62" i="3"/>
  <c r="H61" i="3"/>
  <c r="H60" i="3"/>
  <c r="H58" i="3"/>
  <c r="H57" i="3"/>
  <c r="H56" i="3"/>
  <c r="H55" i="3"/>
  <c r="H54" i="3"/>
  <c r="H52" i="3"/>
  <c r="H51" i="3"/>
  <c r="H50" i="3"/>
  <c r="I47" i="3"/>
  <c r="C47" i="3"/>
  <c r="I46" i="3"/>
  <c r="C46" i="3"/>
  <c r="I45" i="3"/>
  <c r="C45" i="3"/>
  <c r="I44" i="3"/>
  <c r="C44" i="3"/>
  <c r="I43" i="3"/>
  <c r="C43" i="3"/>
  <c r="I42" i="3"/>
  <c r="C42" i="3"/>
  <c r="I41" i="3"/>
  <c r="C41" i="3"/>
  <c r="I40" i="3"/>
  <c r="C40" i="3"/>
  <c r="I39" i="3"/>
  <c r="C39" i="3"/>
  <c r="I38" i="3"/>
  <c r="C38" i="3"/>
  <c r="I37" i="3"/>
  <c r="C37" i="3"/>
  <c r="I36" i="3"/>
  <c r="C36" i="3"/>
  <c r="I35" i="3"/>
  <c r="C35" i="3"/>
  <c r="I34" i="3"/>
  <c r="C34" i="3"/>
  <c r="I33" i="3"/>
  <c r="C33" i="3"/>
  <c r="I32" i="3"/>
  <c r="C32" i="3"/>
  <c r="I31" i="3"/>
  <c r="C31" i="3"/>
  <c r="I30" i="3"/>
  <c r="C30" i="3"/>
  <c r="I29" i="3"/>
  <c r="C29" i="3"/>
  <c r="I28" i="3"/>
  <c r="C28" i="3"/>
  <c r="I27" i="3"/>
  <c r="C27" i="3"/>
  <c r="I26" i="3"/>
  <c r="C26" i="3"/>
  <c r="I25" i="3"/>
  <c r="C25" i="3"/>
  <c r="I24" i="3"/>
  <c r="C24" i="3"/>
  <c r="I23" i="3"/>
  <c r="C23" i="3"/>
  <c r="I22" i="3"/>
  <c r="C22" i="3"/>
  <c r="I21" i="3"/>
  <c r="C21" i="3"/>
  <c r="I20" i="3"/>
  <c r="C20" i="3"/>
  <c r="I19" i="3"/>
  <c r="C19" i="3"/>
  <c r="D97" i="3" s="1"/>
  <c r="I18" i="3"/>
  <c r="C18" i="3"/>
  <c r="I17" i="3"/>
  <c r="C17" i="3"/>
  <c r="I16" i="3"/>
  <c r="C16" i="3"/>
  <c r="C7" i="12" l="1"/>
  <c r="C10" i="12"/>
  <c r="C8" i="12"/>
  <c r="C6" i="12"/>
  <c r="C9" i="12"/>
  <c r="C5" i="12"/>
  <c r="D44" i="12"/>
  <c r="D80" i="12" s="1"/>
  <c r="E44" i="12"/>
  <c r="E80" i="12" s="1"/>
  <c r="I76" i="12"/>
  <c r="E128" i="12"/>
  <c r="D85" i="12"/>
  <c r="D90" i="12"/>
  <c r="D95" i="12"/>
  <c r="D100" i="12"/>
  <c r="D105" i="12"/>
  <c r="D110" i="12"/>
  <c r="D115" i="12"/>
  <c r="D120" i="12"/>
  <c r="D125" i="12"/>
  <c r="E85" i="12"/>
  <c r="E90" i="12"/>
  <c r="E95" i="12"/>
  <c r="E100" i="12"/>
  <c r="E105" i="12"/>
  <c r="E110" i="12"/>
  <c r="E115" i="12"/>
  <c r="E120" i="12"/>
  <c r="E125" i="12"/>
  <c r="D81" i="12"/>
  <c r="D86" i="12"/>
  <c r="D91" i="12"/>
  <c r="D96" i="12"/>
  <c r="D101" i="12"/>
  <c r="D106" i="12"/>
  <c r="D111" i="12"/>
  <c r="D116" i="12"/>
  <c r="D121" i="12"/>
  <c r="D126" i="12"/>
  <c r="E81" i="12"/>
  <c r="E86" i="12"/>
  <c r="E91" i="12"/>
  <c r="E96" i="12"/>
  <c r="E101" i="12"/>
  <c r="E106" i="12"/>
  <c r="E111" i="12"/>
  <c r="E116" i="12"/>
  <c r="E121" i="12"/>
  <c r="E126" i="12"/>
  <c r="D82" i="12"/>
  <c r="D87" i="12"/>
  <c r="D92" i="12"/>
  <c r="D97" i="12"/>
  <c r="D102" i="12"/>
  <c r="D107" i="12"/>
  <c r="D112" i="12"/>
  <c r="D117" i="12"/>
  <c r="D122" i="12"/>
  <c r="D127" i="12"/>
  <c r="E82" i="12"/>
  <c r="E87" i="12"/>
  <c r="E92" i="12"/>
  <c r="E97" i="12"/>
  <c r="E102" i="12"/>
  <c r="E107" i="12"/>
  <c r="E112" i="12"/>
  <c r="E117" i="12"/>
  <c r="E122" i="12"/>
  <c r="E127" i="12"/>
  <c r="D84" i="12"/>
  <c r="D88" i="12"/>
  <c r="D94" i="12"/>
  <c r="D98" i="12"/>
  <c r="D104" i="12"/>
  <c r="D108" i="12"/>
  <c r="D114" i="12"/>
  <c r="D118" i="12"/>
  <c r="D124" i="12"/>
  <c r="D128" i="12"/>
  <c r="E84" i="12"/>
  <c r="E88" i="12"/>
  <c r="E94" i="12"/>
  <c r="E98" i="12"/>
  <c r="E104" i="12"/>
  <c r="E108" i="12"/>
  <c r="E114" i="12"/>
  <c r="E118" i="12"/>
  <c r="E124" i="12"/>
  <c r="E98" i="3"/>
  <c r="E55" i="3"/>
  <c r="E80" i="3"/>
  <c r="D91" i="3"/>
  <c r="E50" i="3"/>
  <c r="D58" i="3"/>
  <c r="E75" i="3"/>
  <c r="D84" i="3"/>
  <c r="D88" i="3"/>
  <c r="E57" i="3"/>
  <c r="D66" i="3"/>
  <c r="E82" i="3"/>
  <c r="D50" i="3"/>
  <c r="E66" i="3"/>
  <c r="D75" i="3"/>
  <c r="E91" i="3"/>
  <c r="E58" i="3"/>
  <c r="D67" i="3"/>
  <c r="E84" i="3"/>
  <c r="D92" i="3"/>
  <c r="D51" i="3"/>
  <c r="E67" i="3"/>
  <c r="D76" i="3"/>
  <c r="E92" i="3"/>
  <c r="E51" i="3"/>
  <c r="D60" i="3"/>
  <c r="E76" i="3"/>
  <c r="D85" i="3"/>
  <c r="E60" i="3"/>
  <c r="D68" i="3"/>
  <c r="E85" i="3"/>
  <c r="D94" i="3"/>
  <c r="E77" i="3"/>
  <c r="E61" i="3"/>
  <c r="E86" i="3"/>
  <c r="D95" i="3"/>
  <c r="D54" i="3"/>
  <c r="E70" i="3"/>
  <c r="D78" i="3"/>
  <c r="E95" i="3"/>
  <c r="D70" i="3"/>
  <c r="E54" i="3"/>
  <c r="D62" i="3"/>
  <c r="E78" i="3"/>
  <c r="D87" i="3"/>
  <c r="E62" i="3"/>
  <c r="D71" i="3"/>
  <c r="E87" i="3"/>
  <c r="D96" i="3"/>
  <c r="D52" i="3"/>
  <c r="E68" i="3"/>
  <c r="D77" i="3"/>
  <c r="E94" i="3"/>
  <c r="E52" i="3"/>
  <c r="D61" i="3"/>
  <c r="D86" i="3"/>
  <c r="D55" i="3"/>
  <c r="E71" i="3"/>
  <c r="D80" i="3"/>
  <c r="E96" i="3"/>
  <c r="D64" i="3"/>
  <c r="E64" i="3"/>
  <c r="D72" i="3"/>
  <c r="E88" i="3"/>
  <c r="D56" i="3"/>
  <c r="E72" i="3"/>
  <c r="D81" i="3"/>
  <c r="E97" i="3"/>
  <c r="E56" i="3"/>
  <c r="D65" i="3"/>
  <c r="E81" i="3"/>
  <c r="D90" i="3"/>
  <c r="E65" i="3"/>
  <c r="D74" i="3"/>
  <c r="E90" i="3"/>
  <c r="D98" i="3"/>
  <c r="D57" i="3"/>
  <c r="E74" i="3"/>
  <c r="D82" i="3"/>
  <c r="F44" i="12" l="1"/>
  <c r="F75" i="12"/>
  <c r="F71" i="12"/>
  <c r="F67" i="12"/>
  <c r="F63" i="12"/>
  <c r="F59" i="12"/>
  <c r="F55" i="12"/>
  <c r="F51" i="12"/>
  <c r="F47" i="12"/>
  <c r="F74" i="12"/>
  <c r="F70" i="12"/>
  <c r="F66" i="12"/>
  <c r="F62" i="12"/>
  <c r="F58" i="12"/>
  <c r="F54" i="12"/>
  <c r="F50" i="12"/>
  <c r="F46" i="12"/>
  <c r="F73" i="12"/>
  <c r="F69" i="12"/>
  <c r="F65" i="12"/>
  <c r="F61" i="12"/>
  <c r="F57" i="12"/>
  <c r="F53" i="12"/>
  <c r="F49" i="12"/>
  <c r="F45" i="12"/>
  <c r="F68" i="12"/>
  <c r="F64" i="12"/>
  <c r="F60" i="12"/>
  <c r="F56" i="12"/>
  <c r="F48" i="12"/>
  <c r="F72" i="12"/>
  <c r="F52" i="12"/>
  <c r="F47" i="3"/>
  <c r="F27" i="3"/>
  <c r="F40" i="3"/>
  <c r="F20" i="3"/>
  <c r="F33" i="3"/>
  <c r="F46" i="3"/>
  <c r="F26" i="3"/>
  <c r="F39" i="3"/>
  <c r="F45" i="3"/>
  <c r="F25" i="3"/>
  <c r="F17" i="3"/>
  <c r="F30" i="3"/>
  <c r="F43" i="3"/>
  <c r="F23" i="3"/>
  <c r="F38" i="3"/>
  <c r="F18" i="3"/>
  <c r="F31" i="3"/>
  <c r="F44" i="3"/>
  <c r="F24" i="3"/>
  <c r="F37" i="3"/>
  <c r="F36" i="3"/>
  <c r="F16" i="3"/>
  <c r="F29" i="3"/>
  <c r="F42" i="3"/>
  <c r="F22" i="3"/>
  <c r="F35" i="3"/>
  <c r="F41" i="3"/>
  <c r="F21" i="3"/>
  <c r="F32" i="3"/>
  <c r="F28" i="3"/>
  <c r="F34" i="3"/>
  <c r="F19" i="3"/>
  <c r="F76" i="12" l="1"/>
  <c r="C11" i="12" l="1"/>
  <c r="C29" i="12"/>
</calcChain>
</file>

<file path=xl/sharedStrings.xml><?xml version="1.0" encoding="utf-8"?>
<sst xmlns="http://schemas.openxmlformats.org/spreadsheetml/2006/main" count="2717" uniqueCount="746">
  <si>
    <t>09:00 - 09:50</t>
    <phoneticPr fontId="2" type="noConversion"/>
  </si>
  <si>
    <t>10:00 - 10:50</t>
    <phoneticPr fontId="2" type="noConversion"/>
  </si>
  <si>
    <t>11:00 - 11:50</t>
    <phoneticPr fontId="2" type="noConversion"/>
  </si>
  <si>
    <t>13:00 - 13:50</t>
    <phoneticPr fontId="2" type="noConversion"/>
  </si>
  <si>
    <t>14:00 - 14:50</t>
    <phoneticPr fontId="2" type="noConversion"/>
  </si>
  <si>
    <t>15:00 - 15:50</t>
    <phoneticPr fontId="2" type="noConversion"/>
  </si>
  <si>
    <t>16:00 - 16:50</t>
    <phoneticPr fontId="2" type="noConversion"/>
  </si>
  <si>
    <t>17:00 - 17:50</t>
    <phoneticPr fontId="2" type="noConversion"/>
  </si>
  <si>
    <t>시간</t>
    <phoneticPr fontId="2" type="noConversion"/>
  </si>
  <si>
    <t>1일차</t>
    <phoneticPr fontId="2" type="noConversion"/>
  </si>
  <si>
    <t>능력단위코드</t>
    <phoneticPr fontId="2" type="noConversion"/>
  </si>
  <si>
    <t>능력단위요소 코드</t>
    <phoneticPr fontId="2" type="noConversion"/>
  </si>
  <si>
    <t>능력단위요소 명</t>
    <phoneticPr fontId="2" type="noConversion"/>
  </si>
  <si>
    <t>능력단위 명</t>
    <phoneticPr fontId="2" type="noConversion"/>
  </si>
  <si>
    <t>교육내용</t>
    <phoneticPr fontId="2" type="noConversion"/>
  </si>
  <si>
    <t>훈련시간</t>
    <phoneticPr fontId="2" type="noConversion"/>
  </si>
  <si>
    <t>2일차</t>
    <phoneticPr fontId="2" type="noConversion"/>
  </si>
  <si>
    <t>3일차</t>
    <phoneticPr fontId="2" type="noConversion"/>
  </si>
  <si>
    <t>12:00 - 12:50 (점심)</t>
    <phoneticPr fontId="2" type="noConversion"/>
  </si>
  <si>
    <t>4일차</t>
    <phoneticPr fontId="2" type="noConversion"/>
  </si>
  <si>
    <t>5일차</t>
    <phoneticPr fontId="2" type="noConversion"/>
  </si>
  <si>
    <t>훈련대상자</t>
    <phoneticPr fontId="2" type="noConversion"/>
  </si>
  <si>
    <t>훈련목표</t>
    <phoneticPr fontId="2" type="noConversion"/>
  </si>
  <si>
    <t>훈련과정명</t>
    <phoneticPr fontId="2" type="noConversion"/>
  </si>
  <si>
    <t>훈련수준</t>
    <phoneticPr fontId="2" type="noConversion"/>
  </si>
  <si>
    <t>지도목표</t>
    <phoneticPr fontId="2" type="noConversion"/>
  </si>
  <si>
    <t>훈련교재</t>
    <phoneticPr fontId="2" type="noConversion"/>
  </si>
  <si>
    <t>세부 지도목표</t>
    <phoneticPr fontId="2" type="noConversion"/>
  </si>
  <si>
    <t>지도내용</t>
    <phoneticPr fontId="2" type="noConversion"/>
  </si>
  <si>
    <t>교수학습방법</t>
    <phoneticPr fontId="2" type="noConversion"/>
  </si>
  <si>
    <t>평가벙법</t>
    <phoneticPr fontId="2" type="noConversion"/>
  </si>
  <si>
    <t>1일차 교육 내용</t>
    <phoneticPr fontId="2" type="noConversion"/>
  </si>
  <si>
    <t>2일차 교육 내용</t>
    <phoneticPr fontId="2" type="noConversion"/>
  </si>
  <si>
    <t>3일차 교육 내용</t>
    <phoneticPr fontId="2" type="noConversion"/>
  </si>
  <si>
    <t>4일차 교육 내용</t>
    <phoneticPr fontId="2" type="noConversion"/>
  </si>
  <si>
    <t>5일차 교육 내용</t>
    <phoneticPr fontId="2" type="noConversion"/>
  </si>
  <si>
    <t>기획자와 컨설턴트를 위한 AI개발의 이해</t>
  </si>
  <si>
    <t>기획자, 컨설턴트, 디자이너 등 개발과 AI에 이해가 필요한 직무</t>
  </si>
  <si>
    <t>L5</t>
  </si>
  <si>
    <t>IT 기본 지식을 습득하고 개발자와 원활히 소통하며, 컨설팅 업무에 필요한 IT 전문 지식과 생성형 AI에 대한 이해를 높여 실무에 바로 적용할 수 있는 역량을 키우는 것을 목표로 함</t>
  </si>
  <si>
    <t>IT 기본 개념을 명확히 이해하고, 실습을 통해 능력을 키워 최신 AI 기술을 활용한 실무 문제 해결 능력을 갖추어 업무의 효율성을 높입니다.</t>
  </si>
  <si>
    <t>* 운영체제, 서버, 클라우드 인프라의 기본 개념 설명
* 데이터베이스의 기초 지식과 데이터 관리 방법 이해
* 생성형 AI와 LLM의 원리 및 적용 사례 소개
* IT 용어와 개념을 쉽게 설명하고 실제 사례를 통해 이해 증진</t>
  </si>
  <si>
    <t>[IT 기본 개념]
운영체제와 서버의 기본 개념
클라우드 인프라의 이해</t>
  </si>
  <si>
    <t>[데이터베이스와 개발 기초]
데이터베이스 기초 개념
개발 관련 기초 지식 및 용어</t>
  </si>
  <si>
    <t>[생성형 AI와 LLM]
생성형 AI의 개념과 원리
LLM의 동작 원리 및 실제 사례</t>
  </si>
  <si>
    <t>강의: 슬라이드 및 영상 자료를 활용하여 시각적 이해를 돕고, 사례 중심으로 설명
실습: 간단한 클라우드 설정 및 데이터베이스 생성 실습
토론: 실제 사례에 기반한 토론을 통해 실무 적용 능력 배양
Q&amp;A: 실시간 질문을 통해 이해도 점검 및 피드백 제공</t>
  </si>
  <si>
    <t>평가방법</t>
    <phoneticPr fontId="2" type="noConversion"/>
  </si>
  <si>
    <t>간단한 Q&amp;A 세션을 통해 이해도 확인
실습 결과물 발표 및 피드백</t>
  </si>
  <si>
    <t>자체교재</t>
  </si>
  <si>
    <t>운영체제와 서버의 기본 개념</t>
    <phoneticPr fontId="2" type="noConversion"/>
  </si>
  <si>
    <t>2001010211_16v3.1</t>
    <phoneticPr fontId="2" type="noConversion"/>
  </si>
  <si>
    <t>하드웨어 분석하기</t>
    <phoneticPr fontId="2" type="noConversion"/>
  </si>
  <si>
    <t xml:space="preserve">	정보시스템인프라분석</t>
    <phoneticPr fontId="2" type="noConversion"/>
  </si>
  <si>
    <t>2001010211_19v4</t>
    <phoneticPr fontId="2" type="noConversion"/>
  </si>
  <si>
    <t>[인프라 관련 지식]
운영체제와 서버의 기본 개념
하드웨어 인프라 아키텍처의 분석과 이해
정보보호와 보안 기술의 이해
[개발 관련 지식]
개발 관련 기초 지식
데이터베이스 기초 지식
생성형 AI의 개념과 LLM의 동작 원리
[실무 관련 지식]
AI 및 IT 기술의 프로젝트 적용 사례
개발자와의 원활한 커뮤니케이션 방법 및 Q&amp;A</t>
    <phoneticPr fontId="2" type="noConversion"/>
  </si>
  <si>
    <t>프로토타입 제작 및 사용성 테스트</t>
  </si>
  <si>
    <t>UI/UX 가이드 제작</t>
  </si>
  <si>
    <t>프로토타입 기초데이터 수집 및 스케치</t>
  </si>
  <si>
    <t>디지털디자인 프로젝트 설계</t>
  </si>
  <si>
    <t>디지털디자인 프로젝트 기초조사</t>
  </si>
  <si>
    <t>능력단위설명</t>
    <phoneticPr fontId="2" type="noConversion"/>
  </si>
  <si>
    <t>능력단위</t>
  </si>
  <si>
    <t>코드</t>
  </si>
  <si>
    <t>직무수준</t>
  </si>
  <si>
    <t>직무명</t>
  </si>
  <si>
    <t>직종명</t>
  </si>
  <si>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아키텍처</t>
    </r>
    <r>
      <rPr>
        <sz val="11"/>
        <color theme="1"/>
        <rFont val="맑은 고딕"/>
        <family val="2"/>
        <charset val="129"/>
        <scheme val="minor"/>
      </rPr>
      <t xml:space="preserve"> </t>
    </r>
    <r>
      <rPr>
        <sz val="11"/>
        <color theme="1"/>
        <rFont val="맑은 고딕"/>
        <family val="3"/>
        <charset val="129"/>
      </rPr>
      <t>구성</t>
    </r>
    <r>
      <rPr>
        <sz val="11"/>
        <color theme="1"/>
        <rFont val="맑은 고딕"/>
        <family val="2"/>
        <charset val="129"/>
        <scheme val="minor"/>
      </rPr>
      <t xml:space="preserve"> </t>
    </r>
    <r>
      <rPr>
        <sz val="11"/>
        <color theme="1"/>
        <rFont val="맑은 고딕"/>
        <family val="3"/>
        <charset val="129"/>
      </rPr>
      <t>점검</t>
    </r>
    <phoneticPr fontId="8" type="noConversion"/>
  </si>
  <si>
    <r>
      <rPr>
        <sz val="11"/>
        <color theme="1"/>
        <rFont val="맑은 고딕"/>
        <family val="3"/>
        <charset val="129"/>
      </rPr>
      <t>클라우드</t>
    </r>
    <r>
      <rPr>
        <sz val="11"/>
        <color theme="1"/>
        <rFont val="맑은 고딕"/>
        <family val="2"/>
        <charset val="129"/>
        <scheme val="minor"/>
      </rPr>
      <t xml:space="preserve"> </t>
    </r>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서비스</t>
    </r>
    <r>
      <rPr>
        <sz val="11"/>
        <color theme="1"/>
        <rFont val="맑은 고딕"/>
        <family val="2"/>
        <charset val="129"/>
        <scheme val="minor"/>
      </rPr>
      <t xml:space="preserve"> </t>
    </r>
    <r>
      <rPr>
        <sz val="11"/>
        <color theme="1"/>
        <rFont val="맑은 고딕"/>
        <family val="3"/>
        <charset val="129"/>
      </rPr>
      <t>구성</t>
    </r>
    <phoneticPr fontId="8" type="noConversion"/>
  </si>
  <si>
    <t>네트워크 구성</t>
  </si>
  <si>
    <t>스토리지 구성</t>
  </si>
  <si>
    <r>
      <rPr>
        <sz val="11"/>
        <color theme="1"/>
        <rFont val="맑은 고딕"/>
        <family val="3"/>
        <charset val="129"/>
      </rPr>
      <t>서버</t>
    </r>
    <r>
      <rPr>
        <sz val="11"/>
        <color theme="1"/>
        <rFont val="맑은 고딕"/>
        <family val="2"/>
        <charset val="129"/>
        <scheme val="minor"/>
      </rPr>
      <t xml:space="preserve"> </t>
    </r>
    <r>
      <rPr>
        <sz val="11"/>
        <color theme="1"/>
        <rFont val="맑은 고딕"/>
        <family val="3"/>
        <charset val="129"/>
      </rPr>
      <t>구성</t>
    </r>
    <phoneticPr fontId="8" type="noConversion"/>
  </si>
  <si>
    <t>설명</t>
    <phoneticPr fontId="2" type="noConversion"/>
  </si>
  <si>
    <t>역량</t>
    <phoneticPr fontId="2" type="noConversion"/>
  </si>
  <si>
    <t>능력단위 요소</t>
    <phoneticPr fontId="2" type="noConversion"/>
  </si>
  <si>
    <t>의료기기 품질문서 개발</t>
    <phoneticPr fontId="2" type="noConversion"/>
  </si>
  <si>
    <t>1903090101_21v2</t>
    <phoneticPr fontId="2" type="noConversion"/>
  </si>
  <si>
    <t>1903090102_21v2</t>
  </si>
  <si>
    <t>의료기기 품질시스템 자원관리</t>
  </si>
  <si>
    <t>1903090103_21v2</t>
  </si>
  <si>
    <t>의료기기 내부(품질) 감사</t>
  </si>
  <si>
    <t>1903090105_21v2</t>
  </si>
  <si>
    <t>의료기기 품질시스템 인증</t>
  </si>
  <si>
    <t>1903090106_21v2</t>
  </si>
  <si>
    <t>의료기기 시제품 품질관리</t>
  </si>
  <si>
    <t>1903090110_21v2</t>
  </si>
  <si>
    <t>시정 및 예방조치(CAPA)</t>
  </si>
  <si>
    <t>1903090201_21v2</t>
  </si>
  <si>
    <t>인허가정보수집</t>
  </si>
  <si>
    <t>1903090202_21v2</t>
  </si>
  <si>
    <t>1903090203_21v2</t>
  </si>
  <si>
    <t>1903090204_21v2</t>
  </si>
  <si>
    <t>규격선정</t>
  </si>
  <si>
    <t>1903090205_21v2</t>
  </si>
  <si>
    <t>기술문서준비</t>
  </si>
  <si>
    <t>1903090208_21v2</t>
  </si>
  <si>
    <t>인허가심사</t>
  </si>
  <si>
    <t>1903090209_21v2</t>
  </si>
  <si>
    <t>보험등재</t>
  </si>
  <si>
    <t>1903090210_21v2</t>
  </si>
  <si>
    <t>인허가 사후관리</t>
  </si>
  <si>
    <t>1903090211_21v1</t>
  </si>
  <si>
    <t>임상평가</t>
  </si>
  <si>
    <t>02.의료기기인·허가</t>
  </si>
  <si>
    <t>02.의료기기인·허가</t>
    <phoneticPr fontId="2" type="noConversion"/>
  </si>
  <si>
    <t>01.의료기기품질관리</t>
  </si>
  <si>
    <t>01.의료기기품질관리</t>
    <phoneticPr fontId="2" type="noConversion"/>
  </si>
  <si>
    <t>03.의료기기생산</t>
  </si>
  <si>
    <t>03.의료기기생산</t>
    <phoneticPr fontId="2" type="noConversion"/>
  </si>
  <si>
    <t>04.의료기기연구개발</t>
  </si>
  <si>
    <t>04.의료기기연구개발</t>
    <phoneticPr fontId="2" type="noConversion"/>
  </si>
  <si>
    <t>10.광기술개발</t>
  </si>
  <si>
    <t>10.광기술개발</t>
    <phoneticPr fontId="2" type="noConversion"/>
  </si>
  <si>
    <t>07.광의료기기개발</t>
  </si>
  <si>
    <t>07.광의료기기개발</t>
    <phoneticPr fontId="2" type="noConversion"/>
  </si>
  <si>
    <t>1903100701_21v2</t>
  </si>
  <si>
    <t>광의료기기개발 기획</t>
  </si>
  <si>
    <t>1903100702_21v2</t>
  </si>
  <si>
    <t>광의료기기개발 전략수립</t>
  </si>
  <si>
    <t>1903100704_21v2</t>
  </si>
  <si>
    <t>광의료기기 광학모듈 개발</t>
  </si>
  <si>
    <t>1903100705_21v2</t>
  </si>
  <si>
    <t>광의료기기 시스템 개발</t>
  </si>
  <si>
    <t>1903100706_21v2</t>
  </si>
  <si>
    <t>광의료기기 소프트웨어 개발</t>
  </si>
  <si>
    <t>1903100708_21v2</t>
  </si>
  <si>
    <t>광의료기기 비임상·임상 시험</t>
  </si>
  <si>
    <t>1903100709_21v2</t>
  </si>
  <si>
    <t>광의료기기 인증관리</t>
  </si>
  <si>
    <t>1903100711_21v2</t>
  </si>
  <si>
    <t>광의료기기 양산이관</t>
  </si>
  <si>
    <t>1903100712_21v1</t>
  </si>
  <si>
    <t>광의료기기 기구개발</t>
  </si>
  <si>
    <t>1903090301_21v2</t>
  </si>
  <si>
    <t>의료기기 생산계획 수립</t>
  </si>
  <si>
    <t>1903090302_21v2</t>
  </si>
  <si>
    <t>의료기기 생산 구매관리</t>
  </si>
  <si>
    <t>1903090304_15v1</t>
  </si>
  <si>
    <t>의료기기 생산 자재관리</t>
  </si>
  <si>
    <t>1903090305_21v2</t>
  </si>
  <si>
    <t>의료기기 제작</t>
  </si>
  <si>
    <t>1903090306_21v2</t>
  </si>
  <si>
    <t>의료기기 생산 공정관리</t>
  </si>
  <si>
    <t>1903090307_21v2</t>
  </si>
  <si>
    <t>의료기기 생산 제품검사</t>
  </si>
  <si>
    <t>1903090308_21v2</t>
  </si>
  <si>
    <t>의료기기 생산 포장관리</t>
  </si>
  <si>
    <t>1903090309_21v2</t>
  </si>
  <si>
    <t>의료기기 생산 물류관리</t>
  </si>
  <si>
    <t>1903090311_21v1</t>
  </si>
  <si>
    <t>1903090401_21v2</t>
  </si>
  <si>
    <t>의료기기 연구개발기획</t>
  </si>
  <si>
    <t>1903090402_21v2</t>
  </si>
  <si>
    <t>의료기기 개발 계획 수립</t>
  </si>
  <si>
    <t>1903090403_21v2</t>
  </si>
  <si>
    <t>의료기기 개발 위험관리</t>
  </si>
  <si>
    <t>1903090404_21v2</t>
  </si>
  <si>
    <t>의료기기 하드웨어 설계제작</t>
  </si>
  <si>
    <t>1903090405_21v2</t>
  </si>
  <si>
    <t>의료기기 소프트웨어 설계제작</t>
  </si>
  <si>
    <t>1903090406_21v2</t>
  </si>
  <si>
    <t>의료기기 기구 설계제작</t>
  </si>
  <si>
    <t>1903090407_21v2</t>
  </si>
  <si>
    <t>의료기기 안전성 유효성 검사</t>
  </si>
  <si>
    <t>1903090409_21v2</t>
  </si>
  <si>
    <t>의료기기 개발문서 작성관리</t>
  </si>
  <si>
    <t>1903090410_21v2</t>
  </si>
  <si>
    <t>의료기기 설계 이관</t>
  </si>
  <si>
    <t xml:space="preserve">09.의료장비제조 </t>
  </si>
  <si>
    <t xml:space="preserve">09.의료장비제조 </t>
    <phoneticPr fontId="2" type="noConversion"/>
  </si>
  <si>
    <t>{{edu_title}}</t>
    <phoneticPr fontId="2" type="noConversion"/>
  </si>
  <si>
    <t>주요훈련내용을 요약해서 작성</t>
    <phoneticPr fontId="2" type="noConversion"/>
  </si>
  <si>
    <t>{{edu_summary}}</t>
    <phoneticPr fontId="2" type="noConversion"/>
  </si>
  <si>
    <t>{{edu_target}}</t>
    <phoneticPr fontId="2" type="noConversion"/>
  </si>
  <si>
    <t>훈련시간(총)</t>
    <phoneticPr fontId="2" type="noConversion"/>
  </si>
  <si>
    <t>{{edu_time}}</t>
    <phoneticPr fontId="2" type="noConversion"/>
  </si>
  <si>
    <t>000시간(00일)</t>
    <phoneticPr fontId="2" type="noConversion"/>
  </si>
  <si>
    <t>훈련방법</t>
    <phoneticPr fontId="2" type="noConversion"/>
  </si>
  <si>
    <t>00명</t>
    <phoneticPr fontId="2" type="noConversion"/>
  </si>
  <si>
    <t>정원</t>
    <phoneticPr fontId="2" type="noConversion"/>
  </si>
  <si>
    <t>훈련과정 특성</t>
    <phoneticPr fontId="2" type="noConversion"/>
  </si>
  <si>
    <t>4차 산업혁명 등 관련된 신기술, 융복합, 미래전략산업 직종 과정 등 훈련과정의 특성 기재</t>
    <phoneticPr fontId="2" type="noConversion"/>
  </si>
  <si>
    <t>{{edu_feature}}</t>
    <phoneticPr fontId="2" type="noConversion"/>
  </si>
  <si>
    <t>{{edu_limit}}</t>
    <phoneticPr fontId="2" type="noConversion"/>
  </si>
  <si>
    <t>{{edu_ncsreason}}</t>
    <phoneticPr fontId="2" type="noConversion"/>
  </si>
  <si>
    <t>대분류</t>
    <phoneticPr fontId="2" type="noConversion"/>
  </si>
  <si>
    <t>중분류</t>
    <phoneticPr fontId="2" type="noConversion"/>
  </si>
  <si>
    <t>소분류</t>
    <phoneticPr fontId="2" type="noConversion"/>
  </si>
  <si>
    <t>세분류</t>
    <phoneticPr fontId="2" type="noConversion"/>
  </si>
  <si>
    <t>{{edu_cate01}}</t>
    <phoneticPr fontId="2" type="noConversion"/>
  </si>
  <si>
    <t>{{edu_cate02}}</t>
    <phoneticPr fontId="2" type="noConversion"/>
  </si>
  <si>
    <t>{{edu_cate03}}</t>
    <phoneticPr fontId="2" type="noConversion"/>
  </si>
  <si>
    <t>{{edu_cate04}}</t>
    <phoneticPr fontId="2" type="noConversion"/>
  </si>
  <si>
    <t>03.전자기기개발</t>
    <phoneticPr fontId="2" type="noConversion"/>
  </si>
  <si>
    <t>01</t>
  </si>
  <si>
    <t>02</t>
  </si>
  <si>
    <t>03</t>
  </si>
  <si>
    <t>05</t>
  </si>
  <si>
    <t>06</t>
  </si>
  <si>
    <t>10</t>
  </si>
  <si>
    <t>04</t>
  </si>
  <si>
    <t>08</t>
  </si>
  <si>
    <t>09</t>
  </si>
  <si>
    <t>11</t>
  </si>
  <si>
    <t>07</t>
  </si>
  <si>
    <t>12</t>
  </si>
  <si>
    <t>분류선택</t>
    <phoneticPr fontId="2" type="noConversion"/>
  </si>
  <si>
    <t>주요훈련내용</t>
    <phoneticPr fontId="2" type="noConversion"/>
  </si>
  <si>
    <t>NCS 미적용 사유</t>
    <phoneticPr fontId="2" type="noConversion"/>
  </si>
  <si>
    <t>{{edu_ncslevel}}</t>
    <phoneticPr fontId="2" type="noConversion"/>
  </si>
  <si>
    <t>{{edu_goal}}</t>
    <phoneticPr fontId="2" type="noConversion"/>
  </si>
  <si>
    <t>{{edu_cate05}}</t>
    <phoneticPr fontId="2" type="noConversion"/>
  </si>
  <si>
    <t>09.의료장비제조 &gt; 01.의료기기품질관리&gt; 의료기기 품질문서 개발</t>
  </si>
  <si>
    <t>{{edu_guidegoal}}</t>
    <phoneticPr fontId="2" type="noConversion"/>
  </si>
  <si>
    <t>{{edu_guidegoaldetail}}</t>
    <phoneticPr fontId="2" type="noConversion"/>
  </si>
  <si>
    <t>{{edu_guidegoaldetail-1}}</t>
    <phoneticPr fontId="2" type="noConversion"/>
  </si>
  <si>
    <t>{{edu_guidegoaldetail-2}}</t>
    <phoneticPr fontId="2" type="noConversion"/>
  </si>
  <si>
    <t>{{edu_guidegoaldetail-3}}</t>
    <phoneticPr fontId="2" type="noConversion"/>
  </si>
  <si>
    <t>[IT 기본 개념]
- 운영체제와 서버의 기본 개념
- 클라우드 인프라의 이해</t>
    <phoneticPr fontId="2" type="noConversion"/>
  </si>
  <si>
    <t>[데이터베이스와 개발 기초]
- 데이터베이스 기초 개념
- 개발 관련 기초 지식 및 용어</t>
    <phoneticPr fontId="2" type="noConversion"/>
  </si>
  <si>
    <t>[생성형 AI와 LLM]
- 생성형 AI의 개념과 원리
- LLM의 동작 원리 및 실제 사례</t>
    <phoneticPr fontId="2" type="noConversion"/>
  </si>
  <si>
    <t>{{edu_learnhow}}</t>
    <phoneticPr fontId="2" type="noConversion"/>
  </si>
  <si>
    <t>{{edu_book}}</t>
    <phoneticPr fontId="2" type="noConversion"/>
  </si>
  <si>
    <t>{{edu_job}}</t>
    <phoneticPr fontId="2" type="noConversion"/>
  </si>
  <si>
    <t>대상직종</t>
    <phoneticPr fontId="2" type="noConversion"/>
  </si>
  <si>
    <t>기획자</t>
    <phoneticPr fontId="2" type="noConversion"/>
  </si>
  <si>
    <t>{{edu_testhow}}</t>
    <phoneticPr fontId="2" type="noConversion"/>
  </si>
  <si>
    <t>기획자와 컨설턴트를 위한 AI개발의 이해</t>
    <phoneticPr fontId="2" type="noConversion"/>
  </si>
  <si>
    <t>연계 훈련과정 (해당 훈련과정의 중장기 체계적 운영의 적정성을 위한 레벨업 실시 계획)</t>
    <phoneticPr fontId="2" type="noConversion"/>
  </si>
  <si>
    <t>[Basic]
Lv.1 - 기획자와 컨설턴트를 위한 AI개발의 이해
Lv.2 - 바이브코딩 이론 및 실습
Lv.2 - 웹서비스 배포 전략 및 클라우드 서비스의 이해
[Advance]
Lv.3 - 데이터베이스 이해 및 실습 1 (MySQL)
Lv.3 - 데이터베이스 이해 및 실습 2 (Supabase)
Lv.3 - 데이터베이스 이해 및 실습 3 (Firebase)
Lv.4 - 웹앱서비스운영전략
Lv.5 - 개발에서 배포 운영까지의 파이프라인 구축</t>
    <phoneticPr fontId="2" type="noConversion"/>
  </si>
  <si>
    <t>의료·바이오 AI 리터러시 입문</t>
    <phoneticPr fontId="2" type="noConversion"/>
  </si>
  <si>
    <t>커리큘럼</t>
    <phoneticPr fontId="2" type="noConversion"/>
  </si>
  <si>
    <t>커리큘럼 기초 내용</t>
    <phoneticPr fontId="2" type="noConversion"/>
  </si>
  <si>
    <t>교육과정 세부 정보</t>
    <phoneticPr fontId="2" type="noConversion"/>
  </si>
  <si>
    <t>2001070701_25v1</t>
  </si>
  <si>
    <t>2001070702_25v1</t>
  </si>
  <si>
    <t>2001070703_25v1</t>
  </si>
  <si>
    <t>2001070704_25v1</t>
  </si>
  <si>
    <t>2001070705_25v1</t>
  </si>
  <si>
    <t>2001070706_25v1</t>
  </si>
  <si>
    <t>2001070707_25v1</t>
  </si>
  <si>
    <t>2001070708_25v1</t>
  </si>
  <si>
    <t>2001070709_25v1</t>
  </si>
  <si>
    <t>생성형 AI 기반 프로덕트 목표 수립</t>
  </si>
  <si>
    <t>생성형 AI 모델 선정</t>
  </si>
  <si>
    <t>생성형 AI 데이터 준비</t>
  </si>
  <si>
    <t>생성형 AI 모델 학습</t>
  </si>
  <si>
    <t>프롬프트 구현</t>
  </si>
  <si>
    <t>프롬프트 최적화</t>
  </si>
  <si>
    <t>생성형 AI 기반 프로덕트 제작</t>
  </si>
  <si>
    <t>생성형 AI 기반 프로덕트 검증</t>
  </si>
  <si>
    <t>생성형 AI 기반 프로덕트 배포</t>
  </si>
  <si>
    <t>07.생성형AI엔지니어링</t>
    <phoneticPr fontId="2" type="noConversion"/>
  </si>
  <si>
    <t xml:space="preserve">07.인공지능 </t>
    <phoneticPr fontId="2" type="noConversion"/>
  </si>
  <si>
    <t>01.정보기술</t>
    <phoneticPr fontId="2" type="noConversion"/>
  </si>
  <si>
    <t>20.정보통신</t>
    <phoneticPr fontId="2" type="noConversion"/>
  </si>
  <si>
    <t>19.전기전자</t>
  </si>
  <si>
    <t>19.전기전자</t>
    <phoneticPr fontId="2" type="noConversion"/>
  </si>
  <si>
    <t>2001070701_25v1.1</t>
  </si>
  <si>
    <t xml:space="preserve">
생성형 AI 플랫폼 환경 분석하기</t>
  </si>
  <si>
    <t>2001070701_25v1.2</t>
  </si>
  <si>
    <t xml:space="preserve">
요구사항 분석하기</t>
  </si>
  <si>
    <t>2001070701_25v1.3</t>
  </si>
  <si>
    <t xml:space="preserve">
생성형 AI 기반 프로덕트 목표 설정하기</t>
  </si>
  <si>
    <t>2001070701_25v1.4</t>
  </si>
  <si>
    <t xml:space="preserve">
생성형 AI 기반 프로덕트 목표 확정하기</t>
  </si>
  <si>
    <t>2001070702_25v1.1</t>
  </si>
  <si>
    <t xml:space="preserve">
생성형 AI 모델 기능 분석하기 </t>
  </si>
  <si>
    <t>2001070702_25v1.2</t>
  </si>
  <si>
    <t xml:space="preserve">
생성형 AI 모델 성능 분석하기 </t>
  </si>
  <si>
    <t>2001070702_25v1.3</t>
  </si>
  <si>
    <t xml:space="preserve">
생성형 AI 모델 비용 분석하기 </t>
  </si>
  <si>
    <t>2001070702_25v1.4</t>
  </si>
  <si>
    <t xml:space="preserve">
생성형 AI 모델 확정하기</t>
  </si>
  <si>
    <t>2001070703_25v1.1</t>
  </si>
  <si>
    <t xml:space="preserve">
데이터 확보 계획 수립하기</t>
  </si>
  <si>
    <t>2001070703_25v1.2</t>
  </si>
  <si>
    <t xml:space="preserve">
데이터 수집 환경 구축하기</t>
  </si>
  <si>
    <t>2001070703_25v1.3</t>
  </si>
  <si>
    <t xml:space="preserve">
내·외부 데이터 수집하기</t>
  </si>
  <si>
    <t>2001070703_25v1.4</t>
  </si>
  <si>
    <t xml:space="preserve">
데이터 속성 부여하기</t>
  </si>
  <si>
    <t>2001070703_25v1.5</t>
  </si>
  <si>
    <t xml:space="preserve">
데이터 검증하기</t>
  </si>
  <si>
    <t>2001070704_25v1.1</t>
  </si>
  <si>
    <t xml:space="preserve">
생성형 AI 모델 학습 환경 준비하기</t>
  </si>
  <si>
    <t>2001070704_25v1.2</t>
  </si>
  <si>
    <t xml:space="preserve">
생성형 AI 모델 학습 데이터셋 제작하기</t>
  </si>
  <si>
    <t>2001070704_25v1.3</t>
  </si>
  <si>
    <t xml:space="preserve">
생성형 AI 모델 사전 학습하기</t>
  </si>
  <si>
    <t>2001070704_25v1.4</t>
  </si>
  <si>
    <t xml:space="preserve">
생성형 AI 모델 파인튜닝하기</t>
  </si>
  <si>
    <t>2001070705_25v1.1</t>
  </si>
  <si>
    <t xml:space="preserve">
프롬프트 요구사항 분석하기</t>
  </si>
  <si>
    <t>2001070705_25v1.2</t>
  </si>
  <si>
    <t xml:space="preserve">
프롬프트 목표 정의하기</t>
  </si>
  <si>
    <t>2001070705_25v1.3</t>
  </si>
  <si>
    <t xml:space="preserve">
프롬프트 구조 설계하기</t>
  </si>
  <si>
    <t>2001070705_25v1.4</t>
  </si>
  <si>
    <t xml:space="preserve">
프롬프트 작성하기</t>
  </si>
  <si>
    <t>2001070706_25v1.1</t>
  </si>
  <si>
    <t xml:space="preserve">
프롬프트 테스트 계획 수립하기</t>
  </si>
  <si>
    <t>2001070706_25v1.2</t>
  </si>
  <si>
    <t xml:space="preserve">
프롬프트 응답 결과 분석하기</t>
  </si>
  <si>
    <t>2001070706_25v1.3</t>
  </si>
  <si>
    <t xml:space="preserve">
프롬프트 품질 개선하기</t>
  </si>
  <si>
    <t>2001070706_25v1.4</t>
  </si>
  <si>
    <t>프롬프트 최종안 공유하기</t>
  </si>
  <si>
    <t>2001070707_25v1.1</t>
  </si>
  <si>
    <t xml:space="preserve">
생성형 AI 모델 실행 환경 구성하기</t>
  </si>
  <si>
    <t>2001070707_25v1.2</t>
  </si>
  <si>
    <t xml:space="preserve">
생성형 AI 기반 프로덕트 아키텍처 설계하기</t>
  </si>
  <si>
    <t>2001070707_25v1.3</t>
  </si>
  <si>
    <t xml:space="preserve">
생성형 AI 모델 응답 처리 기능 구현하기</t>
  </si>
  <si>
    <t>2001070707_25v1.4</t>
  </si>
  <si>
    <t xml:space="preserve">
생성형 AI 기반 프로덕트 기능 통합하기</t>
  </si>
  <si>
    <t>2001070708_25v1.1</t>
  </si>
  <si>
    <t xml:space="preserve">
생성형 AI 기반 프로덕트 검증 계획하기</t>
  </si>
  <si>
    <t>2001070708_25v1.2</t>
  </si>
  <si>
    <t xml:space="preserve">
생성형 AI 기반 프로덕트 품질 평가하기</t>
  </si>
  <si>
    <t>2001070708_25v1.3</t>
  </si>
  <si>
    <t xml:space="preserve">
생성형 AI 기반 프로덕트 보안성 점검하기</t>
  </si>
  <si>
    <t>2001070708_25v1.4</t>
  </si>
  <si>
    <t xml:space="preserve">
생성형 AI 기반 프로덕트 품질 개선하기</t>
  </si>
  <si>
    <t>생성형 AI 기반 프로덕트 목표 수립이란 사용자 요구사항과 생성형 AI 플랫폼을 분석하고, 프로덕트 목표를 구체화하여 확정하는 능력이다.</t>
    <phoneticPr fontId="2" type="noConversion"/>
  </si>
  <si>
    <t>생성형 AI 기반 프로덕트 목표 수립이란 사용자 요구사항과 생성형 AI 플랫폼을 분석하고, 프로덕트 목표를 구체화하여 확정하는 능력이다.</t>
  </si>
  <si>
    <t>생성형 AI 모델 선정이란 생성형 AI 모델의 기능, 성능, 비용을 분석하여 목표하는 생성형 AI 기반 프로덕트에 적합한 생성형 AI 모델을 선정하는 능력이다.</t>
    <phoneticPr fontId="2" type="noConversion"/>
  </si>
  <si>
    <t>생성형 AI 모델 선정이란 생성형 AI 모델의 기능, 성능, 비용을 분석하여 목표하는 생성형 AI 기반 프로덕트에 적합한 생성형 AI 모델을 선정하는 능력이다.</t>
  </si>
  <si>
    <t>생성형 AI 데이터 준비란 생성형 AI 기반 프로덕트 구현에 필요한 데이터를 확보하고 전문가를 대상으로 적정성을 검증하여 고품질의 데이터를 준비하는 능력이다.</t>
    <phoneticPr fontId="2" type="noConversion"/>
  </si>
  <si>
    <t>생성형 AI 데이터 준비란 생성형 AI 기반 프로덕트 구현에 필요한 데이터를 확보하고 전문가를 대상으로 적정성을 검증하여 고품질의 데이터를 준비하는 능력이다.</t>
  </si>
  <si>
    <t xml:space="preserve">생성형 AI 모델 학습이란 생성형 AI 모델 학습 환경과 데이터셋을 제작하여 생성형 AI 파운데이션 모델에 대한 사전학습과 파인튜닝을 수행하는 능력이다. </t>
    <phoneticPr fontId="2" type="noConversion"/>
  </si>
  <si>
    <t xml:space="preserve">생성형 AI 모델 학습이란 생성형 AI 모델 학습 환경과 데이터셋을 제작하여 생성형 AI 파운데이션 모델에 대한 사전학습과 파인튜닝을 수행하는 능력이다. </t>
  </si>
  <si>
    <t>프롬프트 구현이란 사용자 요구를 분석하여 프롬프트 목표를 수립하고, 구조를 설계한 후 작성과 시연을 통해 목적에 부합하는 프롬프트 결과물을 제작하는 능력이다.</t>
    <phoneticPr fontId="2" type="noConversion"/>
  </si>
  <si>
    <t>프롬프트 구현이란 사용자 요구를 분석하여 프롬프트 목표를 수립하고, 구조를 설계한 후 작성과 시연을 통해 목적에 부합하는 프롬프트 결과물을 제작하는 능력이다.</t>
  </si>
  <si>
    <t>프롬프트 최적화란 작성된 프롬프트의 성능을 검증하고, 반복적인 실험과 개선을 통해 가장 효과적인 프롬프트 형태를 도출하는 능력이다.</t>
    <phoneticPr fontId="2" type="noConversion"/>
  </si>
  <si>
    <t>프롬프트 최적화란 작성된 프롬프트의 성능을 검증하고, 반복적인 실험과 개선을 통해 가장 효과적인 프롬프트 형태를 도출하는 능력이다.</t>
  </si>
  <si>
    <t xml:space="preserve">생성형 AI 기반 프로덕트 제작이란 목적에 맞는 출력 기능을 구현하고 입력부터 출력까지 전체 기능이 통합된 프로덕트를 제작하는 능력이다. </t>
    <phoneticPr fontId="2" type="noConversion"/>
  </si>
  <si>
    <t xml:space="preserve">생성형 AI 기반 프로덕트 제작이란 목적에 맞는 출력 기능을 구현하고 입력부터 출력까지 전체 기능이 통합된 프로덕트를 제작하는 능력이다. </t>
  </si>
  <si>
    <t>생성형 AI 기반 프로덕트 검증이란 생성형 AI를 활용하여 개발된 프로덕트가 목표에 부합하고, 사용자 요구에 맞게 정확하고 안전하게 작동하는지 체계적으로 검토하고 개선하는 능력이다.</t>
    <phoneticPr fontId="2" type="noConversion"/>
  </si>
  <si>
    <t>생성형 AI 기반 프로덕트 검증이란 생성형 AI를 활용하여 개발된 프로덕트가 목표에 부합하고, 사용자 요구에 맞게 정확하고 안전하게 작동하는지 체계적으로 검토하고 개선하는 능력이다.</t>
  </si>
  <si>
    <t>생성형 AI 기반 프로덕트 배포는 검증된 생성형 AI 기반 프로덕트에 대한 패키징을 계획하고 배포하는 능력이다.</t>
  </si>
  <si>
    <t>2001070709_25v1.1</t>
    <phoneticPr fontId="2" type="noConversion"/>
  </si>
  <si>
    <t>생성형 AI 기반 프로덕트 패키징 계획하기</t>
    <phoneticPr fontId="2" type="noConversion"/>
  </si>
  <si>
    <t>2001070709_25v1.2</t>
    <phoneticPr fontId="2" type="noConversion"/>
  </si>
  <si>
    <t>생성형 AI 기반 프로덕트 패키징 배포하기</t>
    <phoneticPr fontId="2" type="noConversion"/>
  </si>
  <si>
    <t>2001070705_25v1</t>
    <phoneticPr fontId="2" type="noConversion"/>
  </si>
  <si>
    <t>1. 의료·바이오 분야 AI 적용 사례와 한계
2. AI의 이해 (생성형 AI의 이해 및 활용, ChatGPT/Claude/Gemini) 
3. 프롬프트엔지니어링과 생성형AI의 고급 활용
4. 반복업무를 손쉽게 하는 나만의 챗봇 (GPTs, Gems)
5. AI를 활용한 문서작업 - ( ChatGPT, Claude, Gemini, Genspark, Google Docs )
6. 리서치, 기획, 제안, 문서작업 등을 위한 NotebookLM 활용법
7. AI윤리, 보안의 이해</t>
    <phoneticPr fontId="2" type="noConversion"/>
  </si>
  <si>
    <t>07.인공지능 &gt; 07.생성형AI엔지니어링&gt; 프롬프트 구현</t>
  </si>
  <si>
    <t>【태도】
• 패키지 구조에 대한 문제를 적극적으로 해결하려는 노력
• 패키지의 다양한 환경에 대한 테스트 목표 수준을 파악하고자 하는 자세</t>
    <phoneticPr fontId="2" type="noConversion"/>
  </si>
  <si>
    <t>【기술】
• 패키징 구조 설정 기술
• 패키징 통합 기술
• 패키징 검증 기술
• 패키징 배포 기술</t>
    <phoneticPr fontId="2" type="noConversion"/>
  </si>
  <si>
    <t>【지식】
• 패키징 구조 설계 기법
• 패키지 통합 방법 및 설계
• 패키징 검증 방법 및 기법
• 패키징 배포 원리 및 도구</t>
    <phoneticPr fontId="2" type="noConversion"/>
  </si>
  <si>
    <t>2.1 선택된 도구를 통해 패키지의 구조를 설정할 수 있다.
2.2 설정된 패키지의 구조에 따라 모든 파일을 하나의 패키지로 통합할 수 있다.
2.3 통합된 패키지를 다양한 환경에서 검증할 수 있다.
2.4 검증된 통합 패키지를 운영 환경에 배포할 수 있다.
2.5 배포된 패키지 내용에 대해 배포내역서를 작성할 수 있다.</t>
    <phoneticPr fontId="2" type="noConversion"/>
  </si>
  <si>
    <t>【태도】
• 범위를 세밀하게 정의하려는 자세
• 상황에 적합한 배포 기술을 합리적으로 판단하려는 노력
• 패키지 도구와 기술을 자세히 확인하려는 자세</t>
    <phoneticPr fontId="2" type="noConversion"/>
  </si>
  <si>
    <t>【기술】
• 패키징 도구 활용 능력
• 가상화 기술
• 쿠버네티스 기술
• 배포 자동화 도구 활용 능력 
• 버전 관리 도구 활용 능력
• 로그 관리 도구 활용 능력</t>
    <phoneticPr fontId="2" type="noConversion"/>
  </si>
  <si>
    <t>【지식】
• 프로덕트 패키징 개념과 기법
• 클라우드 환경 구성 및 원리
• 직렬화·역직렬화 개념
• 배포 자동화 개념과 원리
• 버전 관리 도구 및 기법
• 로그 관리 도구 및 기법</t>
    <phoneticPr fontId="2" type="noConversion"/>
  </si>
  <si>
    <t>1.1 프로덕트 패키징 범위를 정의할 수 있다.
1.2 정의된 패키징 범위에 포함될 산출물을 목록화할 수 있다.
1.3 목록화된 산출물을 대상으로 프로덕트 배포 방안을 설계할 수 있다.
1.4 효과적인 패키징을 위한 패키징 도구와 기술을 선정할 수 있다.
1.5 패키지 추적을 위한 패키징 버전과 로그 관리를 설계할 수 있다.</t>
    <phoneticPr fontId="2" type="noConversion"/>
  </si>
  <si>
    <t>【태도】
• 분석 기반으로 원인을 정확하게 파악하려는 자세
• 문제를 숨기지 않고 적극적으로 개선하려는 의지
• 프로덕트 품질 향상을 위한 지속 개선 노력</t>
    <phoneticPr fontId="2" type="noConversion"/>
  </si>
  <si>
    <t>【기술】
• 문제 우선순위 평가 능력
• 취약점 영향도 평가 능력
• 품질 개선 방안 작성 능력</t>
    <phoneticPr fontId="2" type="noConversion"/>
  </si>
  <si>
    <t>【지식】
• 프로덕트 목표 항목
• 품질 지속 개선 개념
• 최신 보안 취약점 동향
• 생성형 AI 기반 프로덕트의 동작 원리</t>
    <phoneticPr fontId="2" type="noConversion"/>
  </si>
  <si>
    <t xml:space="preserve">4.1 품질 평가 보고서에 명시된 기능 오류와 성능 저하 원인을 분석할 수 있다.
4.2 취약점 분석 보고서에 명시된 취약점의 원인과 영향도를 분석할 수 있다. 
4.3 품질 평가 보고서와 취약점 분석 보고서에 명시된 항목들의 우선순위를 선정할 수 있다.
4.4 분석 결과와 우선순위에 따라 프로덕트 품질 개선 방안을 문서화할 수 있다. </t>
    <phoneticPr fontId="2" type="noConversion"/>
  </si>
  <si>
    <t>【태도】
• 보안 위험을 최소화하려는 의지
• 정책 위반 사항에 대해 적극적으로 조치하려는 의지
• 적극적으로 취약점을 찾아내려는 의지</t>
    <phoneticPr fontId="2" type="noConversion"/>
  </si>
  <si>
    <t>【기술】
• 생성형 AI 기반 프로덕트 보안 점검 항목 식별 능력
• 보안 취약점 도구 활용 기술 
• 퍼징 기반 입력값 검증 기술
• 취약점 분석 보고서 작성 능력</t>
    <phoneticPr fontId="2" type="noConversion"/>
  </si>
  <si>
    <t>【지식】
• 최신 보안 취약점 동향
• 생성형 AI 기반 프로덕트 보안 고려사항
• 조직의 보안 정책
• 생성형 AI 기반 프로덕트의 동작 원리</t>
    <phoneticPr fontId="2" type="noConversion"/>
  </si>
  <si>
    <t xml:space="preserve">3.1 조직의 보안 정책을 기반으로 프로덕트 보안 점검 항목을 정의할 수 있다. 
3.2 프로덕트 보안 점검 항목에 대해 보안 취약점 진단 도구를 활용하여 보안 취약점을 분석할 수 있다. 
3.3 보안 취약점 분석 결과를 바탕으로 취약점 분석 보고서를 작성할 수 있다. </t>
    <phoneticPr fontId="2" type="noConversion"/>
  </si>
  <si>
    <t>【태도】
• 사용자 관점에서 평가하려는 자세
• 반복 검증을 성실하게 수행하려는 의지
• 오류를 숨기지 않고 공유하려는 자세</t>
    <phoneticPr fontId="2" type="noConversion"/>
  </si>
  <si>
    <t>【기술】
• 시나리오 기반 검증 기술
• 테스트 도구 활용 기술
• AI 기반 프로덕트 테스트 자동화 활용 기술
• 품질 평가 보고서 작성 능력</t>
    <phoneticPr fontId="2" type="noConversion"/>
  </si>
  <si>
    <t xml:space="preserve">【지식】
• 생성형 AI 기반 프로덕트의 입출력 프로세스
• 생성형 AI 기반 프로덕트의 동작 원리
• 생성형 AI 기반 프로덕트 평가 기준 </t>
    <phoneticPr fontId="2" type="noConversion"/>
  </si>
  <si>
    <t xml:space="preserve">2.1 테스트 계획서를 기반으로 프로덕트의 기능이 올바르게 동작하는지 평가할 수 있다. 
2.2 프로덕트가 테스트 계획서에 명시된 성능 지표를 만족하는지 평가할 수 있다.
2.3 평가 결과를 바탕으로 프로덕트의 기능과 성능 품질에 대한 평가 보고서를 작성할 수 있다. </t>
    <phoneticPr fontId="2" type="noConversion"/>
  </si>
  <si>
    <t>【태도】
• 세부 항목까지 정확하게 점검하려는 노력
• 문서 작성기준을 준수하려는 자세
• 검증결과의 신뢰성을 확보하려는 의지</t>
    <phoneticPr fontId="2" type="noConversion"/>
  </si>
  <si>
    <t>【기술】
• 요구사항 문서 분석 기술
• SMART 지표 식별 능력
• 테스트 도구 활용 기술
• AI 기반 프로덕트 테스트 자동화 구현 기술
• 테스트 계획서 작성 능력</t>
    <phoneticPr fontId="2" type="noConversion"/>
  </si>
  <si>
    <t xml:space="preserve">【지식】
• 프로덕트 목표 항목
• SMART 목표 설정 기준
• 생성형 AI 기반 프로덕트 테스트 계획 방법
• 생성형 AI 기반 프로덕트 성능 분석 방법 </t>
    <phoneticPr fontId="2" type="noConversion"/>
  </si>
  <si>
    <t xml:space="preserve">1.1 프로덕트 목표 문서를 기준으로 기능 항목의 누락 여부를 확인할 수 있다.
1.2 프로덕트 목표 문서에 명시된 SMART 지표를 기준으로 기능 지표와 성능 지표를 식별할 수 있다.
1.3 프로덕트 구성 항목별 기능 지표와 성능 지표 검증을 위한 테스트 환경을 구성할 수 있다.
1.4 테스트 환경에서 프로덕트 검증을 수행하기 위한 테스트 계획서를 작성할 수 있다. </t>
    <phoneticPr fontId="2" type="noConversion"/>
  </si>
  <si>
    <t>【태도】
• 생성형 AI 기반 프로덕트 동작을 주의 깊게 관찰하는 자세
• 사용자 경험을 이해하려는 적극적인 자세</t>
    <phoneticPr fontId="2" type="noConversion"/>
  </si>
  <si>
    <t>【기술】
• 사용자 입력 전처리 구현 능력
• 입력 처리·추론·후처리 로직 파이프라인 구현 능력
• 전체 통합 테스트 검증 능력
• 사용자 인터페이스·사용자 경험 검증 능력</t>
    <phoneticPr fontId="2" type="noConversion"/>
  </si>
  <si>
    <t>【지식】
• 프롬프트 작성 방법
• 인터페이스 설계 개념
• 내부 인터페이스 방법론
• 인터페이스 테스트 방법</t>
    <phoneticPr fontId="2" type="noConversion"/>
  </si>
  <si>
    <t>4.1 생성형 AI 입력 구조에 맞춰 사용자 입력 처리 모듈을 구현할 수 있다.
4.2 사용자 입력 처리 모듈을 생성형 AI 모델 프레임워크와 연동할 수 있다.
4.3 생성형 AI 모델 프레임워크 실행 결과를 후처리 모듈로 전송할 수 있다.</t>
    <phoneticPr fontId="2" type="noConversion"/>
  </si>
  <si>
    <t>【태도】
• 다양한 예외 상황을 체계적으로 관리하려는 자세
• 오류 응답 처리 기능을 면밀히 분석하고 정확하게 개발하려는 자세</t>
    <phoneticPr fontId="2" type="noConversion"/>
  </si>
  <si>
    <t>【기술】
• 모델 인터페이스 활용 능력
• 오류 처리 구현 능력
• 외부 인터페이스 구현 능력</t>
    <phoneticPr fontId="2" type="noConversion"/>
  </si>
  <si>
    <t>【지식】
• 메타데이터 구분 기준
• 내부 인터페이스 방법론
• 예외 처리 로직 구성 방법</t>
    <phoneticPr fontId="2" type="noConversion"/>
  </si>
  <si>
    <t>3.1 생성형 AI 모델 출력값을 구조화된 형식으로 변환하는 기능을 구현할 수 있다.
3.2 모델 오류 상황에 따른 응답 처리 기능을 구현할 수 있다.
3.3 외부 시스템 연동용 API 응답 형식을 작성할 수 있다.</t>
    <phoneticPr fontId="2" type="noConversion"/>
  </si>
  <si>
    <t>【태도】
• 프로덕트의 주요 구성요소를 주의 깊게 관찰하는 자세
• 시스템 요소를 면밀히 분석하는 자세
• 프로덕트의 아키텍처를 이해하고 데이터 흐름을 이해하려는 자세</t>
    <phoneticPr fontId="2" type="noConversion"/>
  </si>
  <si>
    <t>【기술】
• 사용자 요구사항 분석 능력
• 데이터 흐름 설계 능력
• 시스템 간 연동 설계 능력</t>
    <phoneticPr fontId="2" type="noConversion"/>
  </si>
  <si>
    <t>【지식】
• 데이터 처리 설계 개념
• 시스템 인터페이스 방법론
• 구성도 작성 방법론
• SW 아키텍처 설계 방법론</t>
    <phoneticPr fontId="2" type="noConversion"/>
  </si>
  <si>
    <t>2.1 프로덕트 데이터의 입출력 흐름을 기준으로 데이터 처리 구조를 설계할 수 있다.
2.2 구성요소 간 데이터 흐름을 기준으로 연동 구조를 정의할 수 있다.
2.3 데이터 처리 구조와 연동 구조를 바탕으로 설계 산출물을 작성할 수 있다.</t>
    <phoneticPr fontId="2" type="noConversion"/>
  </si>
  <si>
    <t>【태도】
• 모델 구동 환경을 정확하게 파악하는 자세
• 모델 추론 기능을 면밀히 분석하고 정확하게 개발하려는 자세</t>
    <phoneticPr fontId="2" type="noConversion"/>
  </si>
  <si>
    <t>【기술】
• 생성형 AI 모델 실행 환경 설치 능력
• 모델 체크포인트를 시스템에 설정하는 능력
• 입력 데이터를 활용한 추론 기능을 검증하는 능력</t>
    <phoneticPr fontId="2" type="noConversion"/>
  </si>
  <si>
    <t>【지식】
• 최신 생성형 AI 모델 추론 프레임워크 관련 동향
• GPU 자원 및 메모리 산정 방법론</t>
    <phoneticPr fontId="2" type="noConversion"/>
  </si>
  <si>
    <t>1.1 생성형 AI 모델 실행 프레임워크를 설치할 수 있다.
1.2 설치된 실행 프레임워크의 설정값을 구성할 수 있다.
1.3 설정된 모델의 정상 작동 여부를 확인할 수 있다.</t>
    <phoneticPr fontId="2" type="noConversion"/>
  </si>
  <si>
    <t>【태도】
• 근거를 중심으로 판단하려는 자세
• 품질 확보를 위한 책임감
• 체계적으로 결과를 정리하려는 자세</t>
    <phoneticPr fontId="2" type="noConversion"/>
  </si>
  <si>
    <t>【기술】
• 확정안 정리 및 요약 능력
• 테스트 근거 기반 의사결정 능력
• 템플릿 적용 능력
• 버전 이력 관리 능력</t>
    <phoneticPr fontId="2" type="noConversion"/>
  </si>
  <si>
    <t>【지식】
• 프롬프트 표준 문서 구성 항목
• 테스트 결과 해석 기준
• 변경 이력 관리 방법
• 조직 내 공유 정책</t>
    <phoneticPr fontId="2" type="noConversion"/>
  </si>
  <si>
    <t>4.1 개선된 프롬프트 수정안을 기반으로 최종 문안을 작성할 수 있다.
4.2 최종 문안의 프롬프트를 조직의 문서작성 양식에 따라 문서화할 수 있다.
4.3 프롬프트 변경 이력을 버전 관리 체계에 반영할 수 있다.
4.4 문서화된 프롬프트 최종안을 조직 내 공유할 수 있다.</t>
    <phoneticPr fontId="2" type="noConversion"/>
  </si>
  <si>
    <t>【태도】
• 새로운 기법을 유연하게 적용하려는 자세
• 실험 결과를 근거로 판단하려는 자세
• 보안·윤리 기준을 준수하는 자세</t>
    <phoneticPr fontId="2" type="noConversion"/>
  </si>
  <si>
    <t>【기술】
• 오류 원인 분석 및 정리 능력
• 개선 대상 우선순위 도출 능력
• 품질 개선 전략 실행 및 반영 능력
• 개선 전후 성능 비교 및 보고 능력
• 자동화 도구 활용 능력</t>
    <phoneticPr fontId="2" type="noConversion"/>
  </si>
  <si>
    <t>【지식】
• 오류 유형별 진단 기준
• 프롬프트 재설계 전략
• 품질 개선 기법
• 품질 개선 성능 비교 방법
• 에이비 테스팅과 성능 비교 방법</t>
    <phoneticPr fontId="2" type="noConversion"/>
  </si>
  <si>
    <t>3.1 분석 보고서를 기반으로 오류 원인을 진단할 수 있다.
3.2 오류 원인별 프롬프트 구조 수정 방안을 수립할 수 있다.
3.3 프롬프트 수정 방안에 따라 프롬프트 구조를 개선할 수 있다.</t>
    <phoneticPr fontId="2" type="noConversion"/>
  </si>
  <si>
    <t>【태도】
• 객관적으로 데이터를 해석하려는 자세
• 전문가 의견을 존중하는 태도
• 분석 결과를 명확하게 전달하려는 자세</t>
    <phoneticPr fontId="2" type="noConversion"/>
  </si>
  <si>
    <t>【기술】
• 응답 품질 평가  
• 응답 로그 분석 및 요약 능력
• 그래프·표를 활용한 시각화 능력</t>
    <phoneticPr fontId="2" type="noConversion"/>
  </si>
  <si>
    <t>【지식】
• 응답 평가 기준
• 편향 오류와 환각 오류의 개념
• 테스트 로그 분석 방법
• 분석 결과 시각화 방법</t>
    <phoneticPr fontId="2" type="noConversion"/>
  </si>
  <si>
    <t>2.1 수립된 테스트 계획에 따라 모델 응답을 평가할 수 있다.
2.2 평가 결과를 기반으로 문제점을 식별할 수 있다.
2.3 식별된 문제점에 대한 분석 보고서를 작성할 수 있다.</t>
    <phoneticPr fontId="2" type="noConversion"/>
  </si>
  <si>
    <t>【태도】
• 테스트 항목을 체계적으로 관리하려는 자세
• 데이터 기반으로 프롬프트를 객관적으로 검토하려는 자세</t>
    <phoneticPr fontId="2" type="noConversion"/>
  </si>
  <si>
    <t>【기술】
• 테스트 시나리오 작성 능력
• 성능 지표 분석 및 기준 설정 능력
• 테스트 일정 및 리소스 계획 수립 능력
• 프롬프트 이력 관리 능력</t>
    <phoneticPr fontId="2" type="noConversion"/>
  </si>
  <si>
    <t>【지식】
• 프롬프트 유형 분류 기준
• 테스트 시나리오 설계 원칙
• 정량·정성 성능 지표 활용 방법
• 버전 관리 절차와 전략
• 산업별 법규·윤리 가이드</t>
    <phoneticPr fontId="2" type="noConversion"/>
  </si>
  <si>
    <t>1.1 작성된 프롬프트의 테스트 시나리오를 설계할 수 있다.
1.2 시나리오에 따른 성능 측정 지표를 설정할 수 있다.
1.3 시나리오와 지표를 기반으로 테스트 관리 계획을 수립할 수 있다.</t>
    <phoneticPr fontId="2" type="noConversion"/>
  </si>
  <si>
    <t>【태도】
• 꼼꼼하게 구조 설계 결과를 문장에 반영하려는 의지
• 철저하게 시연하여 품질을 점검하려는 자세
• 피드백을 적극적으로 반영하려는 노력</t>
    <phoneticPr fontId="2" type="noConversion"/>
  </si>
  <si>
    <t>【기술】
• 프롬프트 작성 기술
• 프롬프트 버전 관리 기술
• 문체 교정 기술
• 프롬프트 테스트 스크립트 작성 기술
• 모델 응답 튜닝 능력</t>
    <phoneticPr fontId="2" type="noConversion"/>
  </si>
  <si>
    <t>【지식】
• 언어적 문법과 표현 원칙
• 도메인별 전문용어 가이드
• 프롬프트 보안 가이드
• 샘플 프롬프트 사례
• 모델 재조정 기술</t>
    <phoneticPr fontId="2" type="noConversion"/>
  </si>
  <si>
    <t>4.1 확정된 프롬프트 구조안을 기준으로 설계의 정량적 목표에 맞는 프롬프트 문장을 작성할 수 있다.
4.2 작성된 프롬프트 문장을 AI 모델에 입력하여 응답결과를 확인할 수 있다.
4.3 확인된 응답결과에 따라 프롬프트를 수정할 수 있다.
4.4 수정된 프롬프트를 확정하여 문서화할 수 있다.</t>
    <phoneticPr fontId="2" type="noConversion"/>
  </si>
  <si>
    <t>【태도】
• 간결한 구조를 유지하려는 의지
• 지속적으로 토큰을 효율화하려는 노력
• 모델 특성을 신중히 반영하려는 자세</t>
    <phoneticPr fontId="2" type="noConversion"/>
  </si>
  <si>
    <t>【기술】
• 입력·출력 요구사항 명세화 능력
• 토큰 효율화 기법 적용 능력
• 프롬프트 템플릿 설계 능력</t>
    <phoneticPr fontId="2" type="noConversion"/>
  </si>
  <si>
    <t>【지식】
• 프롬프트 엔지니어링 패턴
• 사용모델의 입력·출력 유형과 규격
• 토큰 처리 방식
• 프롬프트 톤앤매너의 언어학적 구성</t>
    <phoneticPr fontId="2" type="noConversion"/>
  </si>
  <si>
    <t>3.1 설정된 목표와 작성된 시나리오에 따라 입력·출력을 정의할 수 있다.
3.2 정의된 입력·출력과 선정된 AI 모델의 특징에 따라 프롬프트 문장 흐름과 어조를 설계할 수 있다.
3.3 설계된 프롬프트 구조를 확정할 수 있다.</t>
  </si>
  <si>
    <t>【태도】
• 사용자 관점에서 목표를 정의하려는 의지
• 합리적으로 목표를 설정하려는 자세 
• 책임감 있게 지표를 관리하려는 노력</t>
    <phoneticPr fontId="2" type="noConversion"/>
  </si>
  <si>
    <t>【기술】
• 사용자 시나리오 설계 기술
• 지표 설계 및 측정 도구 활용 기술
• 제약조건 문서화 및 검토 기술</t>
    <phoneticPr fontId="2" type="noConversion"/>
  </si>
  <si>
    <t>【지식】
• 사용자 시나리오 유형
• 산업별 법규·윤리 가이드
• 성능 지표 개념 
• 목표 설정 원리</t>
    <phoneticPr fontId="2" type="noConversion"/>
  </si>
  <si>
    <t>2.1 요구사항별 사용자 시나리오를 작성할 수 있다.
2.2 생성형 AI 모델 분석 결과에 따라 프롬프트 제작에 대한 제약조건을 정의할 수 있다.
2.3 제약조건에 따른 프롬프트 설계의 정량적 목표를 설정할 수 있다.</t>
  </si>
  <si>
    <t>【태도】
• 세부사항을 꼼꼼히 검토하려는 의지
• 요구사항을 체계적으로 정리하려는 자세 
• 이해관계자와 협업하려는 노력</t>
    <phoneticPr fontId="2" type="noConversion"/>
  </si>
  <si>
    <t>【기술】
• 요구사항 분석 기술  
• 우선순위 매트릭스 작성 기술
• API 연동 구성 능력
• 분석 결과 문서화 기술</t>
    <phoneticPr fontId="2" type="noConversion"/>
  </si>
  <si>
    <t>【지식】
• 생성형 AI 모델 스펙
• 비즈니스 목표 및 핵심성과지표(KPI)
• 우선순위 결정 기법
• 내부 보안·개인정보보호 정책</t>
    <phoneticPr fontId="2" type="noConversion"/>
  </si>
  <si>
    <t>1.1 선정된 생성형 AI 모델의 특징을 분석할 수 있다.
1.2 생성형 AI 모델의 특징을 고려하여 프로덕트 요구사항 우선순위를 결정할 수 있다.
1.3 우선 순위화된 요구사항별 산출물을 정의할 수 있다.</t>
  </si>
  <si>
    <t xml:space="preserve">【태도】
• 모델 성능 향상을 위한 지속적인 실험 정신 
• 데이터와 모델 이해에 기반하여 다양한 파인튜닝 기법을 적용하려는 자세
• 파인튜닝 결과를 정확하게 해석하고자 하는 의지 </t>
    <phoneticPr fontId="2" type="noConversion"/>
  </si>
  <si>
    <t>【기술】
• 하이퍼파라미터 조정 기술
• 모델 파인튜닝 기술
• 모델 성능 평가 기술</t>
    <phoneticPr fontId="2" type="noConversion"/>
  </si>
  <si>
    <t xml:space="preserve">【지식】
• 파운데이션 모델 아키텍처
• 생성형 AI 모델 파인튜닝 방법론
• 하이퍼파라미터 및 주요 학습 매개변수의 특성  
• 모델 성능 평가지표 및 방법론 </t>
    <phoneticPr fontId="2" type="noConversion"/>
  </si>
  <si>
    <t>4.1 생성형 AI 파운데이션 모델의 구조와 목적에 따라 파인튜닝 전략을 수립할 수 있다.
4.2 파인튜닝 전략에 따라 파운데이션 모델에 적합한 하이퍼파라미터를 설정할 수 있다.
4.3 다양한 파인튜닝 기법을 활용하여 생성형 AI 파운데이션 모델을 훈련시킬 수 있다. 
4.4 모델 성능 평가 지표를 활용하여 평가한 파인튜닝 결과를 토대로 모델의 성능을 개선할 수 있다.</t>
  </si>
  <si>
    <t>【태도】
• 반복적 데이터 학습을 끈기 있게 수행하는 자세
• 모델 학습 결과를 객관적으로 평가하고 개선하기 위해 노력하는 자세 
• 다양한 문제 상황에 대해 유연하게 대처하는 자세</t>
    <phoneticPr fontId="2" type="noConversion"/>
  </si>
  <si>
    <t>【기술】
• 생성형 AI 모델 사전학습 기술
• 대규모 데이터셋 처리 기술 
• 모델 학습 과정 모니터링 기술
• 모델 학습 과정 시각화 기술
• 모델 학습 성능 개선 기술</t>
    <phoneticPr fontId="2" type="noConversion"/>
  </si>
  <si>
    <t>【지식】
• 모델 특성에 따른 학습 방식 
• 모델 아키텍처 설계 기법
• 사전학습 최적화 기법
• 사전학습 방식의 장단점 
• 생성형 AI 사전학습 방식</t>
    <phoneticPr fontId="2" type="noConversion"/>
  </si>
  <si>
    <t>3.1 모델 구조와 목적에 따라 적합한 사전학습 방식을 선택할 수 있다.
3.2 선택한 사전학습 방법에 따라 반복적으로 학습을 수행할 수 있다. 
3.3 사전학습 과정에서 모델의 성능을 모니터링할 수 있다. 
3.4 사전학습 결과를 토대로 설정 기준값을 조정할 수 있다.</t>
  </si>
  <si>
    <t>【태도】
• 필요한 데이터를 체계적으로 준비하는 자세
• 데이터 중심으로 문제를 해결하려는 자세
• 데이터 활용의 윤리적 문제에 대하여 엄격하게 판단하는 자세</t>
    <phoneticPr fontId="2" type="noConversion"/>
  </si>
  <si>
    <t>【기술】
• 데이터 정제 능력
• 데이터 관리 도구 활용 기술
• 데이터 전처리 기법</t>
    <phoneticPr fontId="2" type="noConversion"/>
  </si>
  <si>
    <t>【지식】
• 생성형 AI 모델 학습 데이터 처리 방법
• 생성형 AI 학습 데이터 활용 구조 
• 학습용 데이터 관리 기준 
• 데이터 수집 및 가공 방법</t>
    <phoneticPr fontId="2" type="noConversion"/>
  </si>
  <si>
    <t>2.1 생성형 AI 모델 학습목표를 고려하여 학습에 필요한 데이터셋 요건을 정의할 수 있다. 
2.2 데이터셋 요건에 따라 필요한 데이터의 전처리 계획을 수립할 수 있다. 
2.3 데이터 전처리 계획에 따라 수집한 데이터의 정제 작업을 수행할 수 있다. 
2.4 정제한 데이터를 기반으로 파운데이션 모델 학습용 데이터셋을 제작할 수 있다.</t>
  </si>
  <si>
    <t>【태도】
• 모델 학습 계획에 따른 필요한 자원과 도구를 준비하는 자세
• 생성형 AI 모델의 특성을 반영한 학습 환경을 구성하고자 하는 태도</t>
    <phoneticPr fontId="2" type="noConversion"/>
  </si>
  <si>
    <t>【기술】
• 모델 학습 컴퓨팅 자원 계산 기법
• 학습 일정 및 비용 계획 능력
• 모델 학습 프레임워크 사용법</t>
    <phoneticPr fontId="2" type="noConversion"/>
  </si>
  <si>
    <t>【지식】
• 생성형 AI 모델 종류별 특성
• 생성형 AI 모델 학습 방법론
• 고성능 컴퓨팅 자원 규모 산정 방법
• 클라우드 컴퓨팅 환경 및 하드웨어 구성 방법</t>
    <phoneticPr fontId="2" type="noConversion"/>
  </si>
  <si>
    <t xml:space="preserve">1.1 생성형 AI 모델의 용도 및 데이터 특성을 고려하여 생성형 AI 모델의 학습목표를 명확히 설정할 수 있다. 
1.2 생성형 AI 모델 학습 연산 작업에 필요한 학습 환경의 컴퓨팅 자원을 확보할 수 있다. 
1.3 생성형 AI 모델 학습 목적과 환경에 적합한 소프트웨어 도구를 구성할 수 있다. </t>
  </si>
  <si>
    <t>【태도】
• 데이터 오류를 책임감 있게 검토하려는 노력
• 품질 기준 수립에 논리성과 객관성을 적용하려는 자세
• 피드백을 겸허히 반영하려는 협력적 노력</t>
    <phoneticPr fontId="2" type="noConversion"/>
  </si>
  <si>
    <t>【기술】
• 협업 플랫폼 운영 기술
• 오류분석 도구 활용 능력
• 버전 관리 체계 적용 능력
• 피드백 수집 자동화 기술</t>
    <phoneticPr fontId="2" type="noConversion"/>
  </si>
  <si>
    <t>【지식】
• 데이터 품질 기준
• 도메인 데이터 오류 유형
• 도메인별 품질 기준 차이
• 전문가 피드백 수집 방식</t>
    <phoneticPr fontId="2" type="noConversion"/>
  </si>
  <si>
    <t>5.1 도메인 전문가와 협업하여 수집 데이터의 전문성을 확인할 수 있다.
5.2 검토 결과에 따라 데이터 품질 기준을 수립할 수 있다.
5.3 품질 기준에 따라서 데이터를 검증할 수 있다.</t>
  </si>
  <si>
    <t>【태도】
• 기준에 따라 일관되게 라벨링 하려는 노력
• 반복적인 작업에서도 정확성을 유지하려는 성실성
• 라벨링 오류나 문제를 능동적으로 개선하려는 노력</t>
    <phoneticPr fontId="2" type="noConversion"/>
  </si>
  <si>
    <t>【기술】
• 어노테이션 도구 설정 능력
• 라벨 일관성 검토 능력
• 라벨링 프로세스 운영 기술
• 오류 결과물 재작업 수행 능력</t>
    <phoneticPr fontId="2" type="noConversion"/>
  </si>
  <si>
    <t>【지식】
• 어노테이션 유형 
• 라벨링 기준 수립 방법
• 대표 어노테이션 포맷
• 데이터 특성과 목적에 따른 라벨 설계 전략
• 어노테이션 도구의 기능 및 적용 방식</t>
    <phoneticPr fontId="2" type="noConversion"/>
  </si>
  <si>
    <t>4.1 수집된 데이터에 필요한 속성 유형을 정의할 수 있다
4.2 데이터 특성과 목적에 따라 속성 기준을 수립할 수 있다.
4.3 속성 적용에 필요한 도구를 활용해 속성 부여 작업을 수행할 수 있다.</t>
  </si>
  <si>
    <t>【태도】
• 데이터 출처 신뢰성을 꼼꼼히 검토하려는 자세
• 도메인별 데이터 특성을 세밀하게 구분하려는 노력
• 수집 데이터 구조화를 체계적으로 수행하려는 자세</t>
    <phoneticPr fontId="2" type="noConversion"/>
  </si>
  <si>
    <t>【기술】
• 크롤링 데이터 수집 기술
• API 연동 데이터 수집 능력
• 실시간 데이터 처리 기술
• 수집 현황 모니터링 능력
• 데이터 전처리 능력</t>
    <phoneticPr fontId="2" type="noConversion"/>
  </si>
  <si>
    <t xml:space="preserve">【지식】
• 도메인별·형식별 데이터 분류 기준
• 데이터 중복 제거 방법론
• 데이터 다양성 확보 방안
• 수집 자동화 방안
• 데이터 분류 기준 </t>
    <phoneticPr fontId="2" type="noConversion"/>
  </si>
  <si>
    <t xml:space="preserve">3.1 내·외부 시스템에서 활용 가능한 데이터 항목을 추출할 수 있다.
3.2 추출된 데이터를 기반으로 데이터의 신뢰성을 평가할 수 있다.
3.3 평가 결과에 따라 특화된 도메인 데이터를 수집할 수 있다.
3.4 수집 데이터의 메타정보를 포함하여 상세내역을 문서화할 수 있다. </t>
  </si>
  <si>
    <t>【태도】
• 다양한 기술요소를 탐구하려는 노력
• 환경 구성 시 정확성을 추구하는 자세
• 장애나 예외 상황에 선제적으로 대응하려는 책임감</t>
    <phoneticPr fontId="2" type="noConversion"/>
  </si>
  <si>
    <t>【기술】
• 크롤링 데이터 수집 기술
• API 연동 데이터 수집 능력
• 데이터 파이프라인 도구 활용 기술
• 스토리지 활용 능력</t>
    <phoneticPr fontId="2" type="noConversion"/>
  </si>
  <si>
    <t>【지식】
• 데이터 수집 아키텍처
• 수집 방식별 주요 특징
• 수집 예외 처리 방안
• 메타 데이터관리</t>
    <phoneticPr fontId="2" type="noConversion"/>
  </si>
  <si>
    <t>2.1 데이터 수집을 위한 시스템 구성요소를 설계할 수 있다.
2.2 다양한 수집 방식에 적합한 기술요소를 선정할 수 있다.
2.3 선정된 기술 요소를 기반으로 수집 방식별 운영환경을 구축할 수 있다.
2.4 예외 상황을 고려한 수집 방식별 운영환경을 구축할 수 있다.</t>
  </si>
  <si>
    <t>【태도】
• 서비스 목적에 맞는 데이터를 신중하게 분류하려는 자세
• 데이터 확보 제약을 논리적으로 분석하려는 노력
• 계획 수립 전 법적·윤리적 요소까지 고려하는 자세</t>
    <phoneticPr fontId="2" type="noConversion"/>
  </si>
  <si>
    <t>【기술】
• 외부 데이터셋 분석 기술
• 공개 데이터셋 활용 능력
• 데이터 벤치마킹 기술</t>
    <phoneticPr fontId="2" type="noConversion"/>
  </si>
  <si>
    <t>【지식】
• 도메인별 데이터 요구 특성
• 오픈 데이터셋 활용 방법
• 데이터 관련 규제 동향
• 공개·비공개 정보 구분기준
• AI 모델 윤리·편향 문제해결방법
• 벡터 데이터베이스 및 RAG 처리 방법</t>
    <phoneticPr fontId="2" type="noConversion"/>
  </si>
  <si>
    <t>1.1 생성형 AI 서비스 목적에 맞는 데이터 범위를 설정할 수 있다.
1.2 설정된 데이터 범위를 기준으로 내·외부 데이터 확보 방안을 수립할 수 있다.
1.3 데이터 확보 시 필요한 제약사항을 도출할 수 있다.
1.4 수립되고 도출된 사항을 기반으로 데이터 확보 계획서를 작성할 수 있다.</t>
  </si>
  <si>
    <t>【태도】
• 객관성을 유지하려는 자세 
• 논리적 근거를 제시하려는 자세
• 의사결정에 대해 책임감 있는 자세</t>
    <phoneticPr fontId="2" type="noConversion"/>
  </si>
  <si>
    <t xml:space="preserve">【기술】
• SW 평가 능력 
• 우선순위 구조화 능력
• 모델 장단점 비교 능력
• 비교 분석 결과 보고서 작성 능력 </t>
    <phoneticPr fontId="2" type="noConversion"/>
  </si>
  <si>
    <t>【지식】
• 생성형 AI 모델 트렌드
• 생성형 AI 모델 특징
• 생성형 AI 모델 평가 방법</t>
    <phoneticPr fontId="2" type="noConversion"/>
  </si>
  <si>
    <t xml:space="preserve">4.1 기능과 성능 분석 결과를 바탕으로 생성형 AI 모델 우선순위를 도출할 수 있다. 
4.2 비용 분석 결과를 고려하여 생성형 AI 모델 우선순위를 조정할 수 있다. 
4.3 조정된 우선순위를 기반으로 최종 생성형 AI 모델을 확정할 수 있다. </t>
  </si>
  <si>
    <t>【태도】
• 비용 효율화에 대한 의지
• 객관적 원칙을 기준으로 분석하려는 자세</t>
    <phoneticPr fontId="2" type="noConversion"/>
  </si>
  <si>
    <t>【기술】
• 벤치마킹 수행 능력
• 비용 시뮬레이션 기술
• 총비용(Total Cost Ownership) 산정 능력</t>
    <phoneticPr fontId="2" type="noConversion"/>
  </si>
  <si>
    <t>【지식】
• 생성형 AI 비용 구조 이해
• 비용 시뮬레이션 방법론
• 비용 최적화 방법론</t>
    <phoneticPr fontId="2" type="noConversion"/>
  </si>
  <si>
    <t xml:space="preserve">3.1 생성형 AI 모델 공식 사이트를 통해 생성형 AI 모델 비용체계를 조사할 수 있다. 
3.2 생성형 AI 모델 도입 시 예상 비용을 산정할 수 있다.
3.3 생성형 AI 모델 비용 관련 제약사항을 목록화할 수 있다. 
3.4 제약사항을 고려하여 생성형 AI 모델 소요비용을 산정할 수 있다. </t>
  </si>
  <si>
    <t>【태도】
• 새로운 기술을 탐색하는 노력  
• 객관적 원칙을 기준으로 분석하려는 자세</t>
    <phoneticPr fontId="2" type="noConversion"/>
  </si>
  <si>
    <t>【기술】
• 하이퍼파라미터 조정 기술
• 모델 파인튜닝 기법
• 성능 평가지표 활용 능력</t>
    <phoneticPr fontId="2" type="noConversion"/>
  </si>
  <si>
    <t>【지식】
• 프롬프트 엔지니어링
• 생성형 AI 모델 성능 평가지표
• 모델 최적화 방법론</t>
    <phoneticPr fontId="2" type="noConversion"/>
  </si>
  <si>
    <t xml:space="preserve">2.1 생성형 AI 모델 성능 분석 기준을 수립할 수 있다.
2.2 생성형 AI 모델 성능 제약사항을 목록화할 수 있다.
2.3 수립된 기준에 따라 생성형 AI 모델 성능지표를 도출할 수 있다. 
2.4 도출된 성능지표를 활용하여 생성형 AI 모델의 성능이 프로덕트 목표에 적합한지 여부를 판단할 수 있다. </t>
  </si>
  <si>
    <t>【태도】
• 생성형 AI 모델 최신 트렌드를 탐색하는 노력  
• 객관적 원칙을 기준으로 분석하려는 자세</t>
    <phoneticPr fontId="2" type="noConversion"/>
  </si>
  <si>
    <t>【기술】
• 프레임워크와 라이브러리 설치 능력
• 프로그래밍 도구 활용 능력
• 인터페이스 연동 기술</t>
    <phoneticPr fontId="2" type="noConversion"/>
  </si>
  <si>
    <t>【지식】
• 인공지능 및 딥러닝 원리
• 생성형 AI 모델 동작 원리
• 생성형 AI 모델 기능 특성</t>
    <phoneticPr fontId="2" type="noConversion"/>
  </si>
  <si>
    <t>1.1 목표 프로덕트에 적합한 생성형 AI 모델 후보를 선정할 수 있다. 
1.2 생성형 AI 모델 기능 분석기준을 수립할 수 있다.
1.3 수립된 기준에 맞춰 생성형 AI 모델의 기능을 목록화할 수 있다.
1.4 목록화된 생성형 AI 모델의 기능이 프로덕트 목표에 적합한지 여부를 판단할 수 있다.</t>
  </si>
  <si>
    <t>【태도】
• 사용자 중심의 문제 해결 의지
• 원활한 협업을 위해 적극적으로 소통하려는 의지</t>
    <phoneticPr fontId="2" type="noConversion"/>
  </si>
  <si>
    <t xml:space="preserve">【기술】
• 프로덕트 목표 명세화 및 문서화 기술
• 요구사항 분석 기술
• 의사결정 매트릭스 활용 능력 </t>
    <phoneticPr fontId="2" type="noConversion"/>
  </si>
  <si>
    <t>【지식】
• 생성형 AI 동작 원리 
• 프로젝트 관리 도구 활용법
• 생성형 AI 모델별 특성</t>
    <phoneticPr fontId="2" type="noConversion"/>
  </si>
  <si>
    <t>4.1 설정된 목표를 이해관계자에게 설명하고 의견을 수렴할 수 있다.
4.2 수집된 피드백을 반영하여 최종 프로덕트 목표를 확정할 수 있다.
4.3 확정된 목표를 문서화하여 이해관계자와 확인할 수 있다.
4.4 공유된 목표에 대해 최종 합의 내용을 작성할 수 있다.</t>
  </si>
  <si>
    <t>생성형 AI 기반 프로덕트 목표 수립</t>
    <phoneticPr fontId="2" type="noConversion"/>
  </si>
  <si>
    <t>【태도】
• 측정 가능한 성과를 중시하는 자세
• 데이터 기반으로 합리적인 의사결정을 추구하는 자세</t>
    <phoneticPr fontId="2" type="noConversion"/>
  </si>
  <si>
    <t>【기술】
• SMART 목표 작성 기술
• 핵심성과지표 설계와 측정 기준 설정 능력
• 시각화 도구 활용 기술</t>
    <phoneticPr fontId="2" type="noConversion"/>
  </si>
  <si>
    <t>【지식】
• 프로덕트 비전맵 수립 방법
• 핵심 목표 설정 프레임워크
• 프로젝트 관리 프레임워크
• 핵심성과지표 정의
• 실행 계획 수립 요소
• AI 관련 법규 및 윤리 가이드라인</t>
    <phoneticPr fontId="2" type="noConversion"/>
  </si>
  <si>
    <t>3.1 사용자 요구사항 분석 결과를 바탕으로 프로덕트 목표를 도출할 수 있다.
3.2 도출된 목표를 SMART 원칙에 따라 구체화할 수 있다.
3.3 도출된 목표를 바탕으로 프로덕트 개발 범위를 정의할 수 있다. 
3.4 목표 달성도를 측정하기 위한 핵심성과지표를 정의할 수 있다.
3.5 목표 달성을 위한 실행계획을 수립할 수 있다.</t>
  </si>
  <si>
    <t>【태도】
• 체계적으로 요구사항을 관리하려는 자세
• 논리적이고 객관적으로 우선순위를 판단하려는 자세</t>
    <phoneticPr fontId="2" type="noConversion"/>
  </si>
  <si>
    <t>【기술】
• 사용자 인터뷰 능력
• 요구사항 우선순위 도출 기술
• 데이터 분석 도구 활용 능력
• 요구사항 명세서 작성 기술
• 사용자 여정 맵 작성 능력</t>
    <phoneticPr fontId="2" type="noConversion"/>
  </si>
  <si>
    <t>【지식】
• 사용자 요구사항 분석 방법
• 사용자 조사 기법 종류 
• 데이터 분석 기초 이론 
  - 데이터 마이닝
  - 데이터 처리 및 전처리
  - 데이터 해석 
• 요구사항 우선순위 결정 모델
• 요구사항 추적 매트릭스 작성 방법</t>
    <phoneticPr fontId="2" type="noConversion"/>
  </si>
  <si>
    <t xml:space="preserve">2.1 목표 사용자에 따른 사용자 유형과 특성을 정의할 수 있다.
2.2 사용자 조사를 통해 요구사항 기초 자료를 수집할 수 있다.
2.3 사용자의 주요 요구사항과 문제점을 정리할 수 있다.
2.4 도출된 요구사항을 근거로 개발 우선순위를 결정할 수 있다. </t>
  </si>
  <si>
    <t>【태도】
• 최신 정보 습득에 대한 적극적인 의지
• 법규 및 윤리 규정을 준수하려는 노력
• 환경 변화에 따른 산업 트렌드를 분석하려는 자세</t>
    <phoneticPr fontId="2" type="noConversion"/>
  </si>
  <si>
    <t>【기술】
• 시장조사 분석 능력
• 경쟁사 기술 스펙 분석 능력
• 기술 동향 리서치 능력
• 법규·규제 해석 능력</t>
    <phoneticPr fontId="2" type="noConversion"/>
  </si>
  <si>
    <t xml:space="preserve">【지식】
• 환경분석 방법론
  - PEST 분석
  - 5FORCE 분석
  - SWOT 분석
• 생성형 AI 기술 유형별 원리 
• 주요 AI 플랫폼 특성
• AI 관련 법규 및 윤리 가이드라인
• API 활용 비용 </t>
    <phoneticPr fontId="2" type="noConversion"/>
  </si>
  <si>
    <t>1.1 프로덕트 목표를 구체화하기 위해 생성형 AI 플랫폼 기능 활용 사례를 조사할 수 있다.
1.2 조사된 활용 사례를 기반으로 내부 자원 역량을 진단할 수 있다. 
1.3 생성형 AI 관련 법ㆍ규제와 윤리적 리스크를 식별할 수 있다.
1.4 주요 생성형 AI 기술의 유형별 특징을 분석할 수 있다.
1.5 분석된 기술 적용 관련 문제점을 평가할 수 있다.</t>
  </si>
  <si>
    <t>태도</t>
    <phoneticPr fontId="2" type="noConversion"/>
  </si>
  <si>
    <t>기술</t>
    <phoneticPr fontId="2" type="noConversion"/>
  </si>
  <si>
    <t>지식</t>
    <phoneticPr fontId="2" type="noConversion"/>
  </si>
  <si>
    <t>학습목표</t>
    <phoneticPr fontId="2" type="noConversion"/>
  </si>
  <si>
    <t>능력단위 정의</t>
    <phoneticPr fontId="2" type="noConversion"/>
  </si>
  <si>
    <t>능력단위 명칭</t>
    <phoneticPr fontId="2" type="noConversion"/>
  </si>
  <si>
    <t>분류번호</t>
    <phoneticPr fontId="2" type="noConversion"/>
  </si>
  <si>
    <t>{{edu_edutime}}</t>
    <phoneticPr fontId="2" type="noConversion"/>
  </si>
  <si>
    <t>총시간(%)</t>
    <phoneticPr fontId="2" type="noConversion"/>
  </si>
  <si>
    <t>1일차 교육시간</t>
    <phoneticPr fontId="2" type="noConversion"/>
  </si>
  <si>
    <t>2일차 교육시간</t>
    <phoneticPr fontId="2" type="noConversion"/>
  </si>
  <si>
    <t>{{time_day_1}}</t>
    <phoneticPr fontId="2" type="noConversion"/>
  </si>
  <si>
    <t>{{time_day_2}}</t>
    <phoneticPr fontId="2" type="noConversion"/>
  </si>
  <si>
    <t>3일차 교육시간</t>
  </si>
  <si>
    <t>4일차 교육시간</t>
  </si>
  <si>
    <t>5일차 교육시간</t>
  </si>
  <si>
    <t>{{time_day_3}}</t>
    <phoneticPr fontId="2" type="noConversion"/>
  </si>
  <si>
    <t>{{time_day_4}}</t>
    <phoneticPr fontId="2" type="noConversion"/>
  </si>
  <si>
    <t>{{time_day_5}}</t>
    <phoneticPr fontId="2" type="noConversion"/>
  </si>
  <si>
    <t>{{topic_day_1}}</t>
    <phoneticPr fontId="2" type="noConversion"/>
  </si>
  <si>
    <t>{{topic_day_2}}</t>
    <phoneticPr fontId="2" type="noConversion"/>
  </si>
  <si>
    <t>{{topic_day_3}}</t>
    <phoneticPr fontId="2" type="noConversion"/>
  </si>
  <si>
    <t>{{topic_day_4}}</t>
    <phoneticPr fontId="2" type="noConversion"/>
  </si>
  <si>
    <t>{{topic_day_5}}</t>
    <phoneticPr fontId="2" type="noConversion"/>
  </si>
  <si>
    <t>LLM 프롬프트</t>
    <phoneticPr fontId="2" type="noConversion"/>
  </si>
  <si>
    <t>너는 "의료기기 개발, 제조 기업"을 대상으로 하는 "AI전환교육"을 위한 교육 컨설턴트 및 교육설계개발자야.
엑셀에서 제시하는 기본적인 내용을 바탕으로 요구하는 내용을 만들어서 셀에 입력해 주면 되.
최대한 AI/AX 전문가 이면서 의료기기에 대한 전문가 여서 최적의 교육과정을 개발해 주면 되.
아래의 내용을 참고해서 작업해줘
## 셀 설명
B3:C30에는 니가 알아야할 내용이 담겨 있어, B열부분에는 제목, C열 부분에는 내용이 있어.
여기에는 기초적인 교육과정의 제목과 커리큘럼이 있어.
단, 시간(C11)은 아직 못 정해서 임의로 넣은거라 참고하지 말고,
여기 있는 내용을 바탕으로 J70:J118 부분에 내용을 적절하게 채워주면 되.
J70:J118의 각 칸은 1일차~5일차의 각 시간별(1시간단위) 교육 내용이 들어가는 셀이야.
해당 일차와 시간은 B70:C118을 참고하면 되.
그리고 K70, K80, K90, K100, K110은 각각 일차에 해당하는 내용의 커리큘럼을 1일 단위로 넣는 곳이야. 바로 위의 셀에 몇일차 인지 나와 있어. 여기는 많이 상세하게 작성해줘. 최소한 100~150자 정도
여기는 3일차로 과정을 만들어서 채워줘.
점심시간은 뺴고 나머지만 채워줘. 각 시간별 교육내용은 제목처럼 한줄(20~30자)로 작성해줘.
그래서 니가 해야할 것은 B3:C30을 참조해서,
이 과정이 몇시간 짜리의 과정인지 정해야해. 1일을 8시간으로 해서 8,16,24,32,40시간으로 정할 수 있어.
가급적 2일~4일정도가 적절할꺼야. 너무 길어도 안되고 2~3일정도가 적절.
마지막 APX1의 PBL 과정은 8주차 인데 이건 8일차로 해 주면 되. 1주일에 한번씩 과정을 진행한다고 생각하면 되.
이건 입력 하는 곳도 J148까지 있어.
C3:C28 의 각 셀에 대한 참고내용은 제목은 B열에 있고, 출력포맷 예시는 J열에 있어.
그래서 만약 니가 C13에 내용을 넣어야 하는 경우 B2:C11의 내용을 바탕으로 고민한 다음,
B13의 제목과, J13의 출력포맷 예시를 확인해서 넣어주면 되.</t>
    <phoneticPr fontId="2" type="noConversion"/>
  </si>
  <si>
    <t>1일차 교육내용</t>
    <phoneticPr fontId="2" type="noConversion"/>
  </si>
  <si>
    <t>2일차 교육내용</t>
    <phoneticPr fontId="2" type="noConversion"/>
  </si>
  <si>
    <t>3일차 교육내용</t>
  </si>
  <si>
    <t>4일차 교육내용</t>
  </si>
  <si>
    <t>5일차 교육내용</t>
  </si>
  <si>
    <t>가. 평가시점 : 교과목 수업 종료시
나. 평가내용 
• 호텔 운영 프로그램에 대한 지식(Fidelio, Opera 등)
• 객실 업셀링 능력 
• 고객정보 검색 능력 및 활용 기술
다. 평가방법
• 결과평가 : 구두발표</t>
    <phoneticPr fontId="2" type="noConversion"/>
  </si>
  <si>
    <t>08.생성형AI엔지니어링</t>
    <phoneticPr fontId="2" type="noConversion"/>
  </si>
  <si>
    <t>임상시험</t>
    <phoneticPr fontId="2" type="noConversion"/>
  </si>
  <si>
    <t>의료기기등급분류</t>
    <phoneticPr fontId="2" type="noConversion"/>
  </si>
  <si>
    <t>의료기기 생산 기반 시설 관리</t>
    <phoneticPr fontId="2" type="noConversion"/>
  </si>
  <si>
    <t>의료·바이오 데이터리터러시와 데이터시각화 (6h)</t>
    <phoneticPr fontId="2" type="noConversion"/>
  </si>
  <si>
    <t>의료·바이오 AI 리터러시 입문 (4h)</t>
    <phoneticPr fontId="2" type="noConversion"/>
  </si>
  <si>
    <t>1. 의료·바이오 데이터리터러시의 이해
2. 데이터분석의 기초와 데이터 수집 (ChatGPT/Claude/Gemini)
3. 데이터전처리 (Excel, Excel for Claude) : 비정형 데이터 정형화
4. 데이터시각화 기초 (ChatGPT, Tableau)
5. 데이터 분석 리포트 제작 (ChatGPT, Tableau)</t>
    <phoneticPr fontId="2" type="noConversion"/>
  </si>
  <si>
    <t>AI 워크플로우 설계 기초 (8h)</t>
    <phoneticPr fontId="2" type="noConversion"/>
  </si>
  <si>
    <t>1. AI 워크플로우 도구의 이해 (Opal, n8n, Google AI Studio)
2. AI 워크플로우 설계 
3. AI 워크플로우 실습 1 (Opal : Google 서비스 기반 워크플로우 설계)
4. AI 워크플로우 실습 2 (n8n : AI 업무자동화 워크플로우 설계)
5. AI 워크플로우 실습 3 (Google AI Studio : 멀티모달 기반 AI 워크플로우 앱 개발)
6. 통합 AI 워크플로우 구축 실습</t>
    <phoneticPr fontId="2" type="noConversion"/>
  </si>
  <si>
    <t xml:space="preserve"> ISO 13485 기반 QMS 반복문서 AI 자동화 구현 (18h)</t>
    <phoneticPr fontId="2" type="noConversion"/>
  </si>
  <si>
    <t>1. ISO 13485 기반 QMS 반복문서 구조 이해 (SOP, CAPA, 내부감사)
2. ISO 요구사항–문서 항목 매핑 체계 설계
3. 생성형 AI 기반 QMS 문서 자동 생성 기초 (ChatGPT, Claude)
4. SOP 자동 작성 템플릿 설계 실습 (ChatGPT, Claude, Office for Claude)
5. CAPA 보고서 AI 구조화 및 자동 초안 생성 (Claude 중심, ChatGPT 보조)
6. 내부감사 체크리스트 및 문서 검증 체크리스트 자동 생성 (Claude + Excel/Google Sheet 연계)
7. 문서 작성–검증 자동 흐름 설계 (n8n 기반 자동화 기초)
8. 최종 산출물 완성: SOP 자동 템플릿, CAPA 자동화 구조, 감사 대응 체크리스트</t>
    <phoneticPr fontId="2" type="noConversion"/>
  </si>
  <si>
    <t>규제·인허가 AI 자동화 실무 (18h)</t>
    <phoneticPr fontId="2" type="noConversion"/>
  </si>
  <si>
    <t>1. 생성형 AI로 규정 문서 핵심 빠르게 파악하기 (ChatGPT)
2. AI 기반 규제 요구사항 구조화 및 체크리스트 자동 생성 (ChatGPT, Claude Cowork, Excel for Claude)
3. 기술문서(TD) 초안 자동 작성 및 템플릿화 (ChatGPT, Claude)
4. 기존 문서–최신 규정 비교 및 Gap 자동 도출 (Excel for Claude)
5. Deficiency 대응 문장 자동 생성 (ChatGPT)
6. 규정 변경 영향 분석 자동화 (Claude Cowork, Excel for Claude, n8n)
7. RA 업무 AI 워크플로 설계 및 템플릿 구축 (ChatGPT, Claude Cowork, n8n)</t>
    <phoneticPr fontId="2" type="noConversion"/>
  </si>
  <si>
    <t>의료기기 통합 데이터 기반 KPI 대시보드 및 AI 자동 리포팅 구축 (18h)</t>
    <phoneticPr fontId="2" type="noConversion"/>
  </si>
  <si>
    <t>의료기기 개발·제조 기업 임직원 중 AI 활용에 관심이 있는 전 직군 (품질, RA, R&amp;D, 생산, 영업, 경영지원 등)</t>
  </si>
  <si>
    <t>20명</t>
  </si>
  <si>
    <t>의료기기 산업 종사자를 대상으로 생성형 AI의 기본 개념부터 실무 활용까지 다루는 AI 전환(AX) 입문 과정으로, 의료기기 분야 특화 사례와 실습 중심의 교육을 통해 디지털 전환 역량을 강화하는 신기술·융복합 훈련과정</t>
  </si>
  <si>
    <t>의료·바이오 분야의 AI 적용 현황과 한계를 이해하고, ChatGPT·Claude·Gemini 등 주요 생성형 AI 도구의 원리와 활용법을 학습한다. 프롬프트 엔지니어링 기법을 익혀 AI를 고급 활용하고, GPTs·Gems를 통해 나만의 챗봇을 제작하며, AI 기반 문서작성과 NotebookLM을 활용한 리서치·기획 역량을 배양한다. 또한 AI 윤리와 보안에 대한 인식을 갖춘다.</t>
  </si>
  <si>
    <t>본 훈련과정은 의료기기 산업 현장의 AI 전환(AX) 수요에 맞춰 생성형 AI 활용 역량 강화를 목적으로 설계된 과정으로, 기존 NCS 분류체계에 정확히 부합하는 능력단위가 부재하여 산업 현장 맞춤형 커리큘럼으로 자체 구성함</t>
  </si>
  <si>
    <t>의료기기 산업 종사자가 생성형 AI의 개념과 원리를 이해하고, 프롬프트 엔지니어링과 주요 AI 도구(ChatGPT, Claude, Gemini, NotebookLM 등)를 활용하여 문서작성, 리서치, 기획 등 실무 업무에 AI를 효과적으로 적용할 수 있는 기초 역량을 습득하는 것을 목표로 함</t>
  </si>
  <si>
    <t>의료기기 분야의 AI 적용 사례와 생성형 AI 도구의 기본 원리를 명확히 이해하고, 실습을 통해 프롬프트 엔지니어링 능력을 키워 최신 AI 기술을 의료기기 업무 현장에 바로 적용할 수 있는 실무 문제 해결 능력을 갖추어 업무 효율성을 높입니다.</t>
  </si>
  <si>
    <t>강의: 슬라이드 및 의료기기 산업 사례 영상 자료를 활용하여 시각적 이해를 돕고, 실제 의료기기 AI 적용 사례 중심으로 설명
실습: ChatGPT, Claude, Gemini 등 생성형 AI 도구를 직접 활용한 프롬프트 작성 및 문서작성 실습
토론: 의료기기 업무 현장에서의 AI 활용 방안에 대한 그룹 토론을 통해 실무 적용 능력 배양
Q&amp;A: 실시간 질문을 통해 이해도 점검 및 피드백 제공</t>
  </si>
  <si>
    <t>가. 평가시점 : 교과목 수업 종료시
나. 평가내용 
• 생성형 AI 도구(ChatGPT, Claude, Gemini)의 기본 활용 능력
• 프롬프트 엔지니어링을 통한 업무 적용 능력
• AI 윤리 및 보안에 대한 이해도
다. 평가방법
• 결과평가 : 실습 결과물 제출 및 구두발표</t>
  </si>
  <si>
    <t>[Basic]
Lv.1 - 의료·바이오 AI 리터러시 입문 (본 과정)
Lv.2 - 의료기기 데이터 분석 및 AI 활용 기초
Lv.2 - 의료기기 업무 자동화를 위한 AI 워크플로우
[Advance]
Lv.3 - 의료기기 품질관리(QA)를 위한 AI 활용
Lv.3 - 의료기기 인허가(RA)를 위한 AI 활용
Lv.4 - 의료기기 R&amp;D를 위한 AI 활용
Lv.5 - 의료기기 데이터 파이프라인 구축 및 운영</t>
  </si>
  <si>
    <t>의료·바이오 분야 AI 적용 사례와 한계점 분석</t>
  </si>
  <si>
    <t>생성형 AI의 이해 및 활용 (ChatGPT/Claude/Gemini 실습)</t>
  </si>
  <si>
    <t>프롬프트 엔지니어링 기법과 AI 고급 활용 실습</t>
  </si>
  <si>
    <t>나만의 챗봇 만들기(GPTs/Gems) 및 AI 윤리·보안</t>
  </si>
  <si>
    <t>의료·바이오 분야의 AI 적용 현황과 한계를 파악한 후, ChatGPT·Claude·Gemini 등 주요 생성형 AI 도구의 원리를 이해하고 직접 실습한다. 프롬프트 엔지니어링 기법을 익혀 AI를 고급 활용하는 방법을 배우고, GPTs·Gems를 활용하여 의료기기 업무에 특화된 나만의 챗봇을 제작하는 실습을 진행한다. 마지막으로 AI 활용 시 반드시 고려해야 할 윤리적 이슈와 보안 가이드라인을 학습하여 안전한 AI 활용 역량을 갖춘다.</t>
  </si>
  <si>
    <t>의료기기 개발·제조 기업 임직원 중 데이터 분석과 AI 활용에 관심이 있는 전 직군 (품질, RA, R&amp;D, 생산, 영업, 경영지원 등)</t>
  </si>
  <si>
    <t>의료기기 산업 종사자를 대상으로 데이터리터러시의 기본 개념부터 AI를 활용한 데이터 수집·전처리·시각화·리포트 제작까지 다루는 AI 전환(AX) 데이터 활용 과정으로, 의료기기 분야 실제 데이터 사례와 실습 중심의 교육을 통해 데이터 기반 의사결정 역량을 강화하는 신기술·융복합 훈련과정</t>
  </si>
  <si>
    <t>의료·바이오 분야의 데이터리터러시 개념을 이해하고, ChatGPT·Claude·Gemini를 활용한 데이터 수집 방법을 학습한다. Excel과 Excel for Claude를 활용하여 비정형 의료기기 데이터를 정형화하는 전처리 기법을 익히고, ChatGPT와 Tableau를 활용한 데이터시각화 기초를 배운다. 최종적으로 의료기기 분야 데이터 분석 리포트를 직접 제작하는 실습을 수행한다.</t>
  </si>
  <si>
    <t>본 훈련과정은 의료기기 산업 현장의 데이터 기반 AI 전환(AX) 수요에 맞춰 데이터리터러시 및 시각화 역량 강화를 목적으로 설계된 과정으로, 기존 NCS 분류체계에 정확히 부합하는 능력단위가 부재하여 산업 현장 맞춤형 커리큘럼으로 자체 구성함</t>
  </si>
  <si>
    <t>의료기기 산업 종사자가 데이터리터러시의 개념을 이해하고, 생성형 AI(ChatGPT, Claude, Gemini)와 Tableau 등 도구를 활용하여 의료기기 데이터의 수집·전처리·시각화·리포트 제작까지 전 과정을 수행할 수 있는 데이터 활용 역량을 습득하는 것을 목표로 함</t>
  </si>
  <si>
    <t>의료기기 분야의 데이터 특성과 활용 사례를 명확히 이해하고, AI 도구를 활용한 데이터 수집·전처리·시각화 실습을 통해 데이터 기반 의사결정 능력을 키워 의료기기 업무 현장에 바로 적용할 수 있는 실무 문제 해결 능력을 갖추어 업무 효율성을 높입니다.</t>
  </si>
  <si>
    <t>* 의료·바이오 분야 데이터리터러시의 개념과 중요성 이해
* 생성형 AI(ChatGPT, Claude, Gemini)를 활용한 데이터 수집 기법 습득
* Excel과 Excel for Claude를 활용한 비정형 데이터 전처리 능력 배양
* ChatGPT와 Tableau를 활용한 데이터시각화 기초 역량 강화
* 의료기기 분야 데이터 분석 리포트 제작 실습을 통한 종합 역량 함양</t>
  </si>
  <si>
    <t>강의: 슬라이드 및 의료기기 데이터 분석 사례 자료를 활용하여 데이터리터러시의 개념과 활용 방법을 시각적으로 설명
실습: ChatGPT·Claude·Gemini를 활용한 데이터 수집, Excel·Excel for Claude를 활용한 전처리, Tableau를 활용한 시각화 및 리포트 제작 실습
토론: 의료기기 업무 현장의 실제 데이터 활용 사례를 기반으로 그룹 토론을 통해 실무 적용 능력 배양
Q&amp;A: 실시간 질문을 통해 이해도 점검 및 피드백 제공</t>
  </si>
  <si>
    <t>가. 평가시점 : 교과목 수업 종료시
나. 평가내용 
• AI 도구(ChatGPT, Claude, Gemini)를 활용한 데이터 수집 능력
• Excel 및 AI를 활용한 데이터 전처리 능력
• Tableau를 활용한 데이터시각화 및 리포트 제작 능력
다. 평가방법
• 결과평가 : 데이터 분석 리포트 제출 및 구두발표</t>
  </si>
  <si>
    <t>[Basic]
Lv.1 - 의료·바이오 AI 리터러시 입문
Lv.2 - 의료·바이오 데이터리터러시와 데이터시각화 (본 과정)
Lv.2 - 의료기기 업무 자동화를 위한 AI 워크플로우
[Advance]
Lv.3 - 의료기기 품질관리(QA)를 위한 AI 활용
Lv.3 - 의료기기 인허가(RA)를 위한 AI 활용
Lv.4 - 의료기기 R&amp;D를 위한 AI 활용
Lv.5 - 의료기기 데이터 파이프라인 구축 및 운영</t>
  </si>
  <si>
    <t>의료·바이오 데이터리터러시 개념과 의료기기 데이터 특성</t>
  </si>
  <si>
    <t>AI를 활용한 데이터 수집 실습 (ChatGPT/Claude/Gemini)</t>
  </si>
  <si>
    <t>Excel과 Excel for Claude를 활용한 비정형 데이터 전처리 실습</t>
  </si>
  <si>
    <t>데이터시각화 기초 실습 (ChatGPT, Tableau 활용)</t>
  </si>
  <si>
    <t>의료기기 데이터 분석 리포트 제작 실습 (Tableau)</t>
  </si>
  <si>
    <t>데이터 분석 리포트 발표 및 피드백, 종합 정리·Q&amp;A</t>
  </si>
  <si>
    <t>의료·바이오 분야 데이터리터러시의 개념과 의료기기 데이터의 특성을 이해한 후, ChatGPT·Claude·Gemini를 활용하여 의료기기 관련 데이터를 직접 수집하는 실습을 진행한다. Excel과 Excel for Claude를 활용하여 비정형 의료기기 데이터를 정형화하는 전처리 기법을 실습하고, ChatGPT와 Tableau를 활용한 데이터시각화 기초를 배운다. 최종적으로 의료기기 분야 데이터를 활용한 분석 리포트를 직접 제작하고 발표하여 데이터 기반 의사결정 역량을 함양한다.</t>
  </si>
  <si>
    <t>의료기기 개발·제조 기업 임직원 중 AI를 활용한 업무 자동화와 워크플로우 설계에 관심이 있는 전 직군 (품질, RA, R&amp;D, 생산, 영업, 경영지원 등)</t>
  </si>
  <si>
    <t>의료기기 산업 종사자를 대상으로 AI 워크플로우 도구(Opal, n8n, Google AI Studio)의 개념부터 실제 업무 자동화 워크플로우 설계·구축까지 다루는 AI 전환(AX) 워크플로우 과정으로, 의료기기 분야 반복 업무의 자동화 사례와 실습 중심의 교육을 통해 업무 프로세스 혁신 역량을 강화하는 신기술·융복합 훈련과정</t>
  </si>
  <si>
    <t>AI 워크플로우 도구(Opal, n8n, Google AI Studio)의 개념과 특성을 이해하고, 의료기기 업무에 적합한 워크플로우를 설계하는 방법을 학습한다. Opal을 활용한 Google 서비스 기반 워크플로우, n8n을 활용한 업무자동화 워크플로우, Google AI Studio를 활용한 멀티모달 AI 워크플로우 앱 개발을 실습하고, 최종적으로 의료기기 업무에 특화된 통합 AI 워크플로우를 구축하는 프로젝트를 수행한다.</t>
  </si>
  <si>
    <t>본 훈련과정은 의료기기 산업 현장의 AI 기반 업무 자동화 전환(AX) 수요에 맞춰 AI 워크플로우 설계 및 구축 역량 강화를 목적으로 설계된 과정으로, 기존 NCS 분류체계에 정확히 부합하는 능력단위가 부재하여 산업 현장 맞춤형 커리큘럼으로 자체 구성함</t>
  </si>
  <si>
    <t>의료기기 산업 종사자가 AI 워크플로우 도구(Opal, n8n, Google AI Studio)의 원리와 활용법을 이해하고, 의료기기 업무의 반복 프로세스를 AI로 자동화하는 워크플로우를 직접 설계·구축할 수 있는 업무 자동화 역량을 습득하는 것을 목표로 함</t>
  </si>
  <si>
    <t>AI 워크플로우 도구의 기본 원리와 설계 방법론을 명확히 이해하고, 실습을 통해 Opal·n8n·Google AI Studio 활용 능력을 키워 의료기기 업무 현장의 반복 프로세스를 AI로 자동화할 수 있는 실무 문제 해결 능력을 갖추어 업무 효율성을 높입니다.</t>
  </si>
  <si>
    <t>강의: 슬라이드 및 의료기기 업무 자동화 사례 영상 자료를 활용하여 AI 워크플로우 도구의 개념과 설계 방법을 시각적으로 설명
실습: Opal·n8n·Google AI Studio를 직접 활용한 워크플로우 설계 및 구축 실습, 의료기기 업무 시나리오 기반 통합 프로젝트 수행
토론: 의료기기 업무 현장의 반복 프로세스 개선 방안에 대한 그룹 토론을 통해 실무 적용 능력 배양
Q&amp;A: 실시간 질문을 통해 이해도 점검 및 피드백 제공</t>
  </si>
  <si>
    <t>[Basic]
Lv.1 - 의료·바이오 AI 리터러시 입문
Lv.2 - 의료·바이오 데이터리터러시와 데이터시각화
Lv.2 - AI 워크플로우 설계 기초 (본 과정)
[Advance]
Lv.3 - 의료기기 품질관리(QA)를 위한 AI 활용
Lv.3 - 의료기기 인허가(RA)를 위한 AI 활용
Lv.4 - 의료기기 R&amp;D를 위한 AI 활용
Lv.5 - 의료기기 데이터 파이프라인 구축 및 운영</t>
  </si>
  <si>
    <t>AI 워크플로우 도구 개요 (Opal, n8n, Google AI Studio 비교)</t>
  </si>
  <si>
    <t>의료기기 업무 프로세스 분석 및 AI 워크플로우 설계 방법론</t>
  </si>
  <si>
    <t>AI 워크플로우 실습 2: n8n을 활용한 업무자동화 워크플로우 설계</t>
  </si>
  <si>
    <t>AI 워크플로우 실습 2: n8n 워크플로우 심화 및 의료기기 시나리오 적용</t>
  </si>
  <si>
    <t>AI 워크플로우 실습 3: Google AI Studio 멀티모달 AI 앱 개발</t>
  </si>
  <si>
    <t>통합 AI 워크플로우 구축 프로젝트 실습 및 결과 발표</t>
  </si>
  <si>
    <t>통합 워크플로우 발표 피드백, 종합 정리 및 Q&amp;A</t>
  </si>
  <si>
    <t>AI 워크플로우 도구(Opal, n8n, Google AI Studio)의 개념과 특성을 비교·이해한 후, 의료기기 업무 프로세스를 분석하여 AI 워크플로우를 설계하는 방법론을 학습한다. Opal을 활용한 Google 서비스 기반 업무 자동화, n8n을 활용한 AI 업무자동화 워크플로우 설계, Google AI Studio를 활용한 멀티모달 AI 앱 개발을 단계별로 실습한다. 최종적으로 의료기기 업무에 특화된 통합 AI 워크플로우를 직접 구축하는 프로젝트를 수행하고 결과를 발표하여 업무 프로세스 혁신 역량을 함양한다.</t>
  </si>
  <si>
    <t>의료기기 개발·제조 기업의 품질관리(QA/QC) 담당자 및 품질경영시스템(QMS) 운영 관련 임직원</t>
  </si>
  <si>
    <t>의료기기 품질관리(QA/QC), 품질경영시스템(QMS) 운영, 내부감사, 규제대응 등</t>
  </si>
  <si>
    <t>의료기기 품질관리 담당자를 대상으로 ISO 13485 기반 QMS 반복문서(SOP, CAPA, 내부감사 문서)의 구조를 이해하고, 생성형 AI(ChatGPT, Claude)와 n8n을 활용하여 문서 자동 생성·검증 체계를 구축하는 AI 전환(AX) 심화 과정으로, 실제 QMS 문서 자동화 실습 중심의 교육을 통해 품질관리 업무 혁신 역량을 강화하는 신기술·융복합 훈련과정</t>
  </si>
  <si>
    <t>본 훈련과정은 의료기기 품질관리(QA) 현장의 QMS 문서 자동화 AI 전환(AX) 수요에 맞춰 ISO 13485 기반 문서 자동화 역량 강화를 목적으로 설계된 과정으로, 기존 NCS 분류체계에 정확히 부합하는 능력단위가 부재하여 산업 현장 맞춤형 커리큘럼으로 자체 구성함</t>
  </si>
  <si>
    <t>ISO 13485 기반 QMS 문서의 구조와 AI 활용 자동화 방법론을 명확히 이해하고, 실습을 통해 생성형 AI 기반 문서 자동 생성·검증 능력을 키워 의료기기 품질관리 업무 현장에서 반복문서 작성 시간을 획기적으로 단축하고 문서 품질을 향상시킬 수 있는 실무 역량을 갖추어 업무 효율성을 높입니다.</t>
  </si>
  <si>
    <t>[Basic]
Lv.1 - 의료·바이오 AI 리터러시 입문
Lv.2 - 의료·바이오 데이터리터러시와 데이터시각화
Lv.2 - AI 워크플로우 설계 기초
[Advance]
Lv.3 - ISO 13485 기반 QMS 반복문서 AI 자동화 구현 (본 과정)
Lv.3 - 의료기기 인허가(RA)를 위한 AI 활용
Lv.4 - 의료기기 R&amp;D를 위한 AI 활용
Lv.5 - 의료기기 데이터 파이프라인 구축 및 운영</t>
  </si>
  <si>
    <t>ISO 요구사항–문서 항목 매핑 체계 설계 실습</t>
  </si>
  <si>
    <t>최종 산출물 발표: 팀별 QMS 문서 자동화 결과 발표</t>
  </si>
  <si>
    <t>종합 피드백, 현업 적용 전략 수립 및 Q&amp;A</t>
  </si>
  <si>
    <t>의료기기 개발·제조 기업의 인허가(RA) 담당자 및 규제대응 관련 임직원</t>
  </si>
  <si>
    <t>의료기기 인허가(RA), 규제대응, 기술문서(TD) 작성, 품질관리(QA) 등</t>
  </si>
  <si>
    <t>의료기기 인허가(RA) 담당자를 대상으로 생성형 AI(ChatGPT, Claude)를 활용하여 규정 문서 분석, 규제 요구사항 체크리스트 자동 생성, 기술문서(TD) 초안 자동 작성, 기존 문서와 최신 규정 간 Gap 분석, Deficiency 대응 문장 자동 생성, 규정 변경 영향 분석 자동화, RA 업무 AI 워크플로 설계까지 다루는 AI 전환(AX) 심화 과정으로, 실제 RA 업무 시나리오 기반 실습 중심의 교육을 통해 인허가 업무 혁신 역량을 강화하는 신기술·융복합 훈련과정</t>
  </si>
  <si>
    <t>생성형 AI(ChatGPT)로 규정 문서의 핵심을 빠르게 파악하는 방법을 학습하고, ChatGPT·Claude Cowork·Excel for Claude를 활용하여 규제 요구사항을 구조화하고 체크리스트를 자동 생성한다. 기술문서(TD) 초안 자동 작성 및 템플릿화를 실습하고, Excel for Claude를 활용하여 기존 문서와 최신 규정 간 Gap을 자동 도출한다. ChatGPT를 활용한 Deficiency 대응 문장 자동 생성, Claude Cowork·Excel for Claude·n8n을 활용한 규정 변경 영향 분석 자동화를 실습하며, 최종적으로 RA 업무 전반의 AI 워크플로를 설계하고 템플릿을 구축한다.</t>
  </si>
  <si>
    <t>본 훈련과정은 의료기기 인허가(RA) 현장의 규제 문서 자동화 AI 전환(AX) 수요에 맞춰 RA 업무 전반의 AI 활용 역량 강화를 목적으로 설계된 과정으로, 기존 NCS 분류체계에 정확히 부합하는 능력단위가 부재하여 산업 현장 맞춤형 커리큘럼으로 자체 구성함</t>
  </si>
  <si>
    <t>의료기기 인허가(RA) 담당자가 생성형 AI(ChatGPT, Claude)와 자동화 도구(Excel for Claude, Claude Cowork, n8n)를 활용하여 규정 문서 분석, 규제 체크리스트 자동 생성, 기술문서(TD) 초안 작성, Gap 분석, Deficiency 대응, 규정 변경 영향 분석, RA 업무 워크플로 설계까지 인허가 업무 전 과정에 AI를 효과적으로 적용할 수 있는 실무 역량을 습득하는 것을 목표로 함</t>
  </si>
  <si>
    <t>의료기기 규제·인허가 업무의 AI 활용 자동화 방법론을 명확히 이해하고, 실습을 통해 생성형 AI 기반 규제 문서 분석·작성·검증 능력을 키워 RA 업무 현장에서 반복적인 규제 대응 업무 시간을 획기적으로 단축하고 문서 정확성을 향상시킬 수 있는 실무 문제 해결 능력을 갖추어 업무 효율성을 높입니다.</t>
  </si>
  <si>
    <t>* 생성형 AI(ChatGPT)를 활용한 규정 문서 핵심 파악 및 분석 능력 배양
* AI 기반 규제 요구사항 구조화 및 체크리스트 자동 생성 기법 습득
* 기술문서(TD) 초안 자동 작성 및 템플릿화 실습
* 기존 문서와 최신 규정 간 Gap 자동 도출 능력 강화
* Deficiency 대응 문장 자동 생성 및 규정 변경 영향 분석 자동화 실습
* RA 업무 AI 워크플로 설계 및 템플릿 구축 역량 함양</t>
  </si>
  <si>
    <t>강의: 슬라이드 및 의료기기 인허가 규제 사례 자료를 활용하여 RA 업무 AI 자동화 방법론을 시각적으로 설명
실습: ChatGPT·Claude·Excel for Claude·Claude Cowork를 활용한 규정 분석·TD 초안 작성·Gap 도출·Deficiency 대응·규정 변경 영향 분석 실습, n8n 기반 RA 워크플로 설계 실습, 최종 템플릿 구축 프로젝트 수행
토론: 의료기기 인허가 현장의 규제 대응 AI 활용 방안에 대한 그룹 토론을 통해 실무 적용 능력 배양
Q&amp;A: 실시간 질문을 통해 이해도 점검 및 피드백 제공</t>
  </si>
  <si>
    <t>가. 평가시점 : 교과목 수업 종료시
나. 평가내용 
• 생성형 AI(ChatGPT, Claude)를 활용한 규제 문서 분석 및 자동 작성 능력
• 기술문서(TD) 초안 자동 작성 및 Gap 분석 능력
• RA 업무 AI 워크플로 설계 및 템플릿 구축 능력
다. 평가방법
• 결과평가 : 최종 산출물(RA 워크플로 설계서, TD 템플릿, 규제 체크리스트) 제출 및 구두발표</t>
  </si>
  <si>
    <t>[Basic]
Lv.1 - 의료·바이오 AI 리터러시 입문
Lv.2 - 의료·바이오 데이터리터러시와 데이터시각화
Lv.2 - AI 워크플로우 설계 기초
[Advance]
Lv.3 - ISO 13485 기반 QMS 반복문서 AI 자동화 구현
Lv.3 - 규제·인허가 AI 자동화 실무 (본 과정)
Lv.4 - 의료기기 R&amp;D를 위한 AI 활용
Lv.5 - 의료기기 데이터 파이프라인 구축 및 운영</t>
  </si>
  <si>
    <t>생성형 AI로 규정 문서 핵심 빠르게 파악하기 (ChatGPT 활용)</t>
  </si>
  <si>
    <t>규정 문서 분석 실습: 주요 규제 요구사항 추출 및 요약</t>
  </si>
  <si>
    <t>AI 기반 규제 요구사항 구조화 설계 (ChatGPT, Claude Cowork)</t>
  </si>
  <si>
    <t>규제 체크리스트 자동 생성 실습 (Excel for Claude 활용)</t>
  </si>
  <si>
    <t>기술문서(TD) 초안 자동 작성 기초 (ChatGPT, Claude 활용)</t>
  </si>
  <si>
    <t>TD 자동 작성 템플릿 설계 실습 및 1일차 정리</t>
  </si>
  <si>
    <t>ChatGPT를 활용하여 의료기기 규정 문서의 핵심을 빠르게 파악하는 방법을 학습하고, 주요 규제 요구사항을 추출·요약하는 실습을 진행한다. ChatGPT와 Claude Cowork를 활용하여 규제 요구사항을 구조화하고, Excel for Claude를 활용하여 체크리스트를 자동 생성하는 실습을 수행한다. 오후에는 기술문서(TD) 초안 자동 작성과 템플릿화의 기초를 실습하여 규제 문서 AI 자동화의 토대를 다진다.</t>
  </si>
  <si>
    <t>기존 문서–최신 규정 비교 및 Gap 자동 도출 개념 (Excel for Claude)</t>
  </si>
  <si>
    <t>Gap 분석 실습: 실제 의료기기 규정 변경 사례 적용</t>
  </si>
  <si>
    <t>Deficiency 대응 문장 자동 생성 실습 (ChatGPT 활용)</t>
  </si>
  <si>
    <t>Deficiency 대응 심화: 실제 심사 지적 사례 기반 대응문 생성</t>
  </si>
  <si>
    <t>규정 변경 영향 분석 자동화 설계 (Claude Cowork, Excel for Claude)</t>
  </si>
  <si>
    <t>규정 변경 영향 분석 실습: n8n 연계 자동화 기초</t>
  </si>
  <si>
    <t>Excel for Claude를 활용하여 기존 문서와 최신 규정 간 Gap을 자동으로 도출하는 방법을 학습하고, 실제 의료기기 규정 변경 사례를 적용한 Gap 분석 실습을 진행한다. ChatGPT를 활용한 Deficiency 대응 문장 자동 생성을 기초부터 실제 심사 지적 사례까지 심화 실습하며, Claude Cowork·Excel for Claude·n8n을 활용한 규정 변경 영향 분석 자동화의 설계와 기초 연계 실습을 수행한다.</t>
  </si>
  <si>
    <t>RA 업무 AI 워크플로 설계 개념 (ChatGPT, Claude Cowork, n8n)</t>
  </si>
  <si>
    <t>RA 워크플로 설계 실습: n8n 기반 업무 자동화 파이프라인</t>
  </si>
  <si>
    <t>RA 워크플로 템플릿 구축 실습: 전체 흐름 통합 설계</t>
  </si>
  <si>
    <t>최종 산출물 완성: TD 템플릿·규제 체크리스트·워크플로</t>
  </si>
  <si>
    <t>최종 산출물 발표: 팀별 RA AI 자동화 결과 발표</t>
  </si>
  <si>
    <t>ChatGPT·Claude Cowork·n8n을 활용하여 RA 업무 전반의 AI 워크플로를 설계하고, n8n 기반 업무 자동화 파이프라인을 구축하는 실습을 진행한다. 3일간의 학습 내용을 종합하여 TD 템플릿, 규제 체크리스트, RA 워크플로 설계서를 최종 산출물로 완성하고 팀별 발표를 통해 결과를 공유한다. 종합 피드백과 함께 현업에서의 RA AI 자동화 적용 전략을 수립한다.</t>
  </si>
  <si>
    <t>의료기기 개발·제조 기업의 연구개발(R&amp;D) 담당자 및 설계관리(Design Controls) 관련 임직원</t>
  </si>
  <si>
    <t>의료기기 연구개발(R&amp;D), 설계관리, 소프트웨어 개발, 위험관리, V&amp;V 등</t>
  </si>
  <si>
    <t>본 훈련과정은 의료기기 R&amp;D 현장의 설계관리(Design Controls) AI 전환(AX) 수요에 맞춰 설계관리 프로세스 전반의 AI 자동화 역량 강화를 목적으로 설계된 과정으로, 기존 NCS 분류체계에 정확히 부합하는 능력단위가 부재하여 산업 현장 맞춤형 커리큘럼으로 자체 구성함</t>
  </si>
  <si>
    <t>[Basic]
Lv.1 - 의료·바이오 AI 리터러시 입문
Lv.2 - 의료·바이오 데이터리터러시와 데이터시각화
Lv.2 - AI 워크플로우 설계 기초
[Advance]
Lv.3 - ISO 13485 기반 QMS 반복문서 AI 자동화 구현
Lv.3 - 규제·인허가 AI 자동화 실무
Lv.4 - 의료기기 설계관리(Design Controls) AI 자동화 실습 (본 과정)
Lv.5 - 의료기기 데이터 파이프라인 구축 및 운영</t>
  </si>
  <si>
    <t>의료기기 개발·제조 기업의 데이터 분석·활용 담당자 및 KPI 대시보드 구축에 관심이 있는 임직원 (품질, R&amp;D, 생산, 경영지원 등)</t>
  </si>
  <si>
    <t>의료기기 품질관리, 연구개발(R&amp;D), 생산관리, 경영지원, 데이터 분석 등</t>
  </si>
  <si>
    <t>본 훈련과정은 의료기기 산업 현장의 데이터 기반 의사결정 및 AI 자동 리포팅 전환(AX) 수요에 맞춰 KPI 대시보드 및 AI 워크플로 구축 역량 강화를 목적으로 설계된 과정으로, 기존 NCS 분류체계에 정확히 부합하는 능력단위가 부재하여 산업 현장 맞춤형 커리큘럼으로 자체 구성함</t>
  </si>
  <si>
    <t>[Basic]
Lv.1 - 의료·바이오 AI 리터러시 입문
Lv.2 - 의료·바이오 데이터리터러시와 데이터시각화
Lv.2 - AI 워크플로우 설계 기초
[Advance]
Lv.3 - ISO 13485 기반 QMS 반복문서 AI 자동화 구현
Lv.3 - 규제·인허가 AI 자동화 실무
Lv.4 - 의료기기 설계관리(Design Controls) AI 자동화 실습
Lv.5 - 의료기기 통합 데이터 기반 KPI 대시보드 및 AI 자동 리포팅 구축 (본 과정)</t>
  </si>
  <si>
    <t>의료기기 품질·임상·공정 데이터 구조 이해 및 데이터 흐름 분석</t>
  </si>
  <si>
    <t>통합 KPI 체계 설계 및 규제 기반 의사결정 구조 수립</t>
  </si>
  <si>
    <t>KPI 자동 계산 코드 검증 및 1일차 종합 정리</t>
  </si>
  <si>
    <t>KPI 분석 자동화 심화 및 2일차 종합 정리</t>
  </si>
  <si>
    <t>통합 AI 워크플로 설계: 데이터 수집→정제→KPI→시각화 파이프라인</t>
  </si>
  <si>
    <t>최종 산출물 발표: 팀별 KPI 대시보드 및 AI 리포팅 결과 발표</t>
  </si>
  <si>
    <t>[의료·바이오 AI 개론 및 생성형 AI 활용]
- 의료기기 분야 AI 적용 사례와 한계점 분석
- 생성형 AI(ChatGPT, Claude, Gemini)의 원리 이해 및 실습</t>
  </si>
  <si>
    <t>[프롬프트 엔지니어링과 AI 고급 활용]
- 프롬프트 엔지니어링 기법을 통한 생성형 AI 고급 활용
- 나만의 챗봇 만들기 (GPTs, Gems) 실습</t>
  </si>
  <si>
    <t>[AI 기반 문서작성 및 윤리·보안]
- AI를 활용한 문서작업 및 NotebookLM 활용 리서치·기획
- AI 윤리, 보안의 이해 및 의료기기 업무 적용 시 주의사항</t>
  </si>
  <si>
    <t>[데이터리터러시와 AI 기반 데이터 수집]
- 의료·바이오 데이터리터러시의 개념과 의료기기 데이터 특성 이해
- AI(ChatGPT/Claude/Gemini)를 활용한 데이터 수집 방법론</t>
  </si>
  <si>
    <t>[데이터 전처리 및 시각화]
- Excel과 Excel for Claude를 활용한 비정형 데이터 정형화 전처리
- ChatGPT와 Tableau를 활용한 데이터시각화 기초</t>
  </si>
  <si>
    <t>[데이터 분석 리포트 제작]
- ChatGPT와 Tableau를 활용한 의료기기 데이터 분석 리포트 제작
- 데이터 기반 의사결정 및 리포트 발표 실습</t>
  </si>
  <si>
    <t>[AI 워크플로우 도구 이해와 설계]
- AI 워크플로우 도구(Opal, n8n, Google AI Studio)의 개념과 특성 비교
- 의료기기 업무 프로세스 분석 및 워크플로우 설계 방법론</t>
  </si>
  <si>
    <t>[멀티모달 AI 앱 및 통합 워크플로우 구축]
- Google AI Studio를 활용한 멀티모달 AI 워크플로우 앱 개발
- 의료기기 업무에 특화된 통합 AI 워크플로우 구축 및 발표</t>
  </si>
  <si>
    <t>[규정 문서 AI 분석과 규제 체크리스트 자동화]
- 생성형 AI(ChatGPT)를 활용한 규정 문서 핵심 파악 및 분석
- AI 기반 규제 요구사항 구조화 및 체크리스트 자동 생성</t>
  </si>
  <si>
    <t>[TD 자동 작성 및 Gap·Deficiency 대응]
- 기술문서(TD) 초안 자동 작성 및 템플릿화 실습
- 기존 문서–최신 규정 Gap 자동 도출 및 Deficiency 대응 문장 생성</t>
  </si>
  <si>
    <t>[규정 변경 영향 분석 및 RA 워크플로 구축]
- 규정 변경 영향 분석 자동화 (Claude Cowork, Excel for Claude, n8n)
- RA 업무 AI 워크플로 설계 및 템플릿 구축</t>
  </si>
  <si>
    <t>* 의료·바이오 분야 AI 적용 사례와 한계점 분석
* 생성형 AI(ChatGPT, Claude, Gemini)의 원리와 활용 방법 이해
* 프롬프트 엔지니어링 기법을 통한 AI 고급 활용 능력 배양
* GPTs, Gems를 활용한 맞춤형 챗봇 제작 실습
* AI 기반 문서작성 및 NotebookLM을 활용한 리서치·기획 역량 강화
* AI 윤리 및 보안 이슈에 대한 인식 제고</t>
    <phoneticPr fontId="2" type="noConversion"/>
  </si>
  <si>
    <t>전직무</t>
    <phoneticPr fontId="2" type="noConversion"/>
  </si>
  <si>
    <t>데이터 분석이 필요한 전 직무</t>
    <phoneticPr fontId="2" type="noConversion"/>
  </si>
  <si>
    <t>AI 워크플로우와 자동화가 필요한 모든 직무</t>
    <phoneticPr fontId="2" type="noConversion"/>
  </si>
  <si>
    <t>가. 평가시점 : 교과목 수업 종료시
나. 평가내용 
• AI 워크플로우 도구(n8n, Google AI Studio)의 기본 활용 능력
• 의료기기 업무 프로세스에 맞는 워크플로우 설계 능력
• 통합 AI 워크플로우 구축 및 발표 능력
다. 평가방법
• 결과평가 : 통합 워크플로우 구축 결과물 제출 및 구두발표</t>
    <phoneticPr fontId="2" type="noConversion"/>
  </si>
  <si>
    <t>* AI 워크플로우 도구(Opal, n8n, Google AI Studio)의 개념과 특성 비교 이해
* 의료기기 업무 프로세스 분석 및 AI 워크플로우 설계 방법론 습득
* Opal을 활용한 Google 서비스 기반 업무 자동화 워크플로우 이해
* n8n을 활용한 AI 업무자동화 워크플로우 설계 및 구현 실습
* Google AI Studio를 활용한 멀티모달 AI 워크플로우 앱 개발 실습
* 의료기기 업무에 특화된 통합 AI 워크플로우 구축 및 발표</t>
    <phoneticPr fontId="2" type="noConversion"/>
  </si>
  <si>
    <t>[도구별 워크플로우 실습]
- Opal을 활용한 Google 서비스 기반 업무 자동화 워크플로우 이해
- n8n을 활용한 AI 업무자동화 워크플로우 설계 및 구현</t>
    <phoneticPr fontId="2" type="noConversion"/>
  </si>
  <si>
    <t>AI 워크플로우 실습 1: Opal을 활용한 Google 서비스 기반 자동화 이해</t>
    <phoneticPr fontId="2" type="noConversion"/>
  </si>
  <si>
    <t>QMS 문서의 구조와 유형을 이해하고, ISO 13485 요구사항과 문서 항목 간 관계를 분석한다. ChatGPT를 활용한 프롬프트 기반 문서 생성 기법을 습득하고, 기존 QMS 문서를 프롬프트 설계를 통해 생성하는 실습을 진행한다. Office for Claude를 활용하여 문서 템플릿을 설계하고 문서 AI 자동화 체계를 구현하는 실습을 수행한다. 최종적으로 문서 작성부터 검증까지의 자동 흐름을 설계하여 QMS 문서 자동화 역량을 완성한다.</t>
  </si>
  <si>
    <t>의료기기 품질관리 담당자가 QMS 문서의 구조와 ISO 13485 요구사항을 이해하고, 프롬프트 기반 문서 생성(ChatGPT)과 문서 템플릿 설계 및 AI 자동화 구현(Office for Claude)을 통해 QMS 문서의 작성부터 검증까지 자동 흐름을 직접 설계·구축할 수 있는 QMS 문서 자동화 역량을 습득하는 것을 목표로 함</t>
  </si>
  <si>
    <t>* QMS 문서의 구조와 유형(SOP, CAPA, 내부감사 등) 이해 및 문서 작성 요건 분석
* ISO 13485 요구사항의 이해 및 문서 항목 간 매핑 체계 설계 능력 습득
* ChatGPT를 활용한 프롬프트 기반 QMS 문서 생성 기법 배양
* Office for Claude를 활용한 문서 템플릿 설계 실습
* Office for Claude를 활용한 문서 AI 자동화 설계 및 구현 실습
* 문서 작성–검증 자동 흐름 설계 역량 함양</t>
  </si>
  <si>
    <t>[QMS 문서 및 ISO 13485 요구사항 이해]
- QMS 문서의 구조와 유형(SOP, CAPA, 내부감사) 분석 및 작성 요건 이해
- ISO 13485 요구사항 분석 및 문서 항목 간 매핑 체계 설계</t>
  </si>
  <si>
    <t>[프롬프트 기반 문서 생성 및 템플릿 설계]
- ChatGPT를 활용한 프롬프트 설계 기반 기존 QMS 문서 생성 실습
- Office for Claude를 활용한 문서 템플릿 설계 실습</t>
  </si>
  <si>
    <t>[문서 AI 자동화 구현 및 자동 흐름 설계]
- Office for Claude를 활용한 문서 AI 자동화 설계 및 구현 실습
- 문서 작성–검증 자동 흐름 설계 및 최종 산출물 완성</t>
  </si>
  <si>
    <t>강의: 슬라이드 및 ISO 13485 QMS 문서 사례 자료를 활용하여 QMS 문서 구조와 ISO 요구사항, AI 자동화 방법론을 시각적으로 설명
실습: ChatGPT를 활용한 프롬프트 기반 문서 생성 실습, Office for Claude를 활용한 템플릿 설계 및 문서 AI 자동화 구현 실습, 문서 작성–검증 자동 흐름 설계, 최종 산출물 완성 프로젝트 수행
토론: 의료기기 품질관리 현장의 QMS 문서 자동화 적용 방안에 대한 그룹 토론을 통해 실무 적용 능력 배양
Q&amp;A: 실시간 질문을 통해 이해도 점검 및 피드백 제공</t>
  </si>
  <si>
    <t>가. 평가시점 : 교과목 수업 종료시
나. 평가내용 
• ChatGPT를 활용한 프롬프트 기반 QMS 문서 생성 능력
• Office for Claude를 활용한 문서 템플릿 설계 및 AI 자동화 구현 능력
• 문서 작성–검증 자동 흐름 설계 능력
다. 평가방법
• 결과평가 : 최종 산출물(문서 템플릿, AI 자동화 구현물, 자동 흐름 설계서) 제출 및 구두발표</t>
  </si>
  <si>
    <t>QMS 문서의 이해: 문서 유형(SOP, CAPA, 내부감사) 및 구조 분석</t>
  </si>
  <si>
    <t>QMS 문서 작성 요건과 실무에서의 문서 작성 흐름 이해</t>
  </si>
  <si>
    <t>ISO 13485 요구사항의 이해: 핵심 조항 분석 및 해설</t>
  </si>
  <si>
    <t>매핑 체계 결과 검토 및 실제 문서 적용 토론</t>
  </si>
  <si>
    <t>1일차 종합 정리 및 Q&amp;A</t>
  </si>
  <si>
    <t>QMS 문서의 유형(SOP, CAPA, 내부감사 등)과 구조를 분석하고, 각 문서 유형별 작성 요건과 실무에서의 문서 작성 흐름을 이해한다. ISO 13485 요구사항의 핵심 조항을 분석·해설하고, ISO 요구사항과 문서 항목 간 매핑 체계를 직접 설계하는 실습을 진행한다. 매핑 결과를 검토하고 실제 문서에 적용하는 토론을 통해 QMS 문서 자동화의 기반을 다진다.</t>
  </si>
  <si>
    <t>프롬프트 기반 문서 생성: 프롬프트 설계 원리와 기법 (ChatGPT)</t>
  </si>
  <si>
    <t>실습: 기존 QMS 문서를 프롬프트 설계로 생성하기 (ChatGPT)</t>
  </si>
  <si>
    <t>프롬프트 심화: 문서 품질 검토 및 프롬프트 최적화 실습</t>
  </si>
  <si>
    <t>문서 템플릿 설계: Office for Claude 활용 기초 실습</t>
  </si>
  <si>
    <t>템플릿 설계 실습: SOP·CAPA 템플릿 직접 설계 (Office for Claude)</t>
  </si>
  <si>
    <t>템플릿 결과 검토 및 2일차 종합 정리</t>
  </si>
  <si>
    <t>ChatGPT를 활용한 프롬프트 설계의 원리와 기법을 학습하고, 기존 QMS 문서(SOP, CAPA 등)를 프롬프트 설계를 통해 생성하는 실습을 진행한다. 생성된 문서의 품질을 검토하고 프롬프트를 최적화하는 심화 실습 후, Office for Claude를 활용하여 SOP·CAPA 문서 템플릿을 직접 설계하는 실습을 수행하여 프롬프트 기반 문서 생성과 템플릿화 능력을 함양한다.</t>
  </si>
  <si>
    <t>문서 AI 자동화 설계: Office for Claude 기반 자동화 구현 개념</t>
  </si>
  <si>
    <t>자동화 구현 실습: 문서 자동 생성·검증 체계 구축 (Office for Claude)</t>
  </si>
  <si>
    <t>문서 작성–검증 자동 흐름 설계: 전체 프로세스 통합</t>
  </si>
  <si>
    <t>최종 산출물 완성: 문서 템플릿·자동화 구현물·흐름 설계서</t>
  </si>
  <si>
    <t>Office for Claude를 활용하여 문서 AI 자동화 체계를 설계하고 문서 자동 생성·검증 기능을 구현하는 실습을 진행한다. 문서 작성부터 검증까지의 전체 프로세스를 통합한 자동 흐름을 설계하고, 3일간의 학습 내용을 종합하여 문서 템플릿, AI 자동화 구현물, 자동 흐름 설계서를 최종 산출물로 완성한다. 팀별 발표와 피드백을 통해 현업 적용 전략을 수립한다.</t>
  </si>
  <si>
    <t>의료기기 연구개발 설계 관리 AX 실습 과정 (18h)</t>
    <phoneticPr fontId="2" type="noConversion"/>
  </si>
  <si>
    <t xml:space="preserve">1. 생성형 AI 협업 환경을 위한 설계관리 전주기 이해 ( IEC 62304·ISO 14971 등 )
2. AI로 요구사항(URS) 구조화 및 자동 도출 (Claude, ChatGPT, Claude Cowork) 
3. 요구사항 기반 SRS 초안 자동 생성 및 문서 일관성·논리 검증 (ChatGPT, Claude) 
4. 요구사항을 검증 가능한 테스트 케이스로 자동 변환 및 표준 문서 출력 (ChatGPT, Excel, Google AI Studio) 
5. 설계 변경 시 영향 받는 요구·테스트·위험 항목 자동 식별 및 알림 설계 (Claude Code, ChatGPT, Claude Cowork, n8n ) 
6. 요구–설계–검증–위험 간 Traceability 매트릭스 자동 생성 및 누락 탐지 (Claude Code, ChatGPT, Excel, Google AI Studio)
7. 설계 입력부터 변경관리까지 연결된 AI 기반 설계관리 워크플로 통합 설계 (ChatGPT, Claude Code, Claude Cowork, n8n)  </t>
    <phoneticPr fontId="2" type="noConversion"/>
  </si>
  <si>
    <t>의료기기 R&amp;D 담당자를 대상으로 IEC 62304·ISO 14971 기반 설계관리 전주기를 이해하고, 생성형 AI(ChatGPT, Claude, Claude Cowork, Claude Code)와 자동화 도구(Excel, n8n, Google AI Studio)를 활용하여 URS 구조화·SRS 자동 생성·TC 자동 변환·ECO 변경 영향 자동 식별·Traceability 자동 생성까지 설계관리 전 과정의 AI 자동화를 실습하고, 설계 입력부터 변경관리까지 연결된 AI 워크플로를 통합 설계하는 AI 전환(AX) 심화 과정으로, 실제 R&amp;D 업무 시나리오 기반 실습 중심의 신기술·융복합 훈련과정</t>
  </si>
  <si>
    <t>생성형 AI 협업 환경에서의 설계관리 전주기(IEC 62304·ISO 14971)를 이해한 후, Claude·ChatGPT·Claude Cowork를 활용하여 자연어 요구사항을 구조화된 URS로 자동 변환하고 SRS 초안을 자동 생성하며 문서 일관성·논리를 검증한다. ChatGPT·Excel·Google AI Studio를 활용하여 요구사항을 테스트 케이스로 자동 변환하고 표준 문서로 출력하며, Claude Code·n8n을 활용하여 설계 변경 시 영향 항목을 자동 식별하고 알림 체계를 설계한다. Traceability 매트릭스를 AI로 자동 생성하여 누락을 탐지하고, 최종적으로 설계 입력부터 변경관리까지 연결된 AI 기반 설계관리 워크플로를 통합 설계한다.</t>
  </si>
  <si>
    <t>의료기기 R&amp;D 담당자가 생성형 AI 협업 환경(ChatGPT, Claude, Claude Cowork, Claude Code)을 활용하여 설계관리 전주기(URS 구조화→SRS 자동 생성→TC 자동 변환→ECO 변경 영향 자동 식별→Traceability 자동 생성)를 AI로 수행하고, n8n·Google AI Studio 기반으로 설계 입력부터 변경관리까지 연결된 통합 워크플로를 직접 설계·구축할 수 있는 설계관리 AX 실무 역량을 습득하는 것을 목표로 함</t>
  </si>
  <si>
    <t>의료기기 설계관리 전주기의 구조를 이해하고, ChatGPT·Claude·Claude Cowork·Claude Code를 활용한 실습을 통해 URS 구조화·SRS 생성·TC 변환·ECO 영향 식별·Traceability 구축 능력을 키워, R&amp;D 업무 현장에서 설계관리 문서화와 검증 시간을 획기적으로 단축하고 AI 기반 통합 워크플로 설계 능력을 갖추어 업무 효율성을 높입니다.</t>
  </si>
  <si>
    <t>* 생성형 AI 협업 환경에서의 설계관리 전주기(IEC 62304·ISO 14971) 구조 이해
* Claude·ChatGPT·Claude Cowork를 활용한 URS 구조화 및 자동 도출 실습
* ChatGPT·Claude를 활용한 SRS 초안 자동 생성 및 문서 일관성·논리 검증 실습
* ChatGPT·Excel·Google AI Studio를 활용한 TC 자동 변환 및 표준 문서 출력 실습
* Claude Code·ChatGPT·n8n을 활용한 ECO 변경 영향 자동 식별 및 알림 설계 실습
* Traceability 매트릭스 AI 자동 생성·누락 탐지 및 AI 기반 설계관리 워크플로 통합 설계 역량 함양</t>
  </si>
  <si>
    <t>[설계관리 전주기 이해 및 AI 기반 URS 구조화·SRS 자동 생성]
- 생성형 AI 협업 환경에서의 설계관리 전주기(IEC 62304·ISO 14971) 구조 이해
- Claude·ChatGPT·Claude Cowork로 URS 자동 구조화 및 SRS 초안 자동 생성·검증 실습</t>
  </si>
  <si>
    <t>[TC 자동 변환·ECO 변경 영향 자동 식별 실습]
- ChatGPT·Excel·Google AI Studio를 활용한 TC 자동 변환 및 표준 문서 출력 실습
- Claude Code·ChatGPT·Claude Cowork·n8n을 활용한 ECO 변경 영향 자동 식별 및 알림 설계</t>
  </si>
  <si>
    <t>[Traceability 자동 생성 및 AI 워크플로 통합 설계]
- Claude Code·ChatGPT·Excel·Google AI Studio로 Traceability 매트릭스 자동 생성 및 누락 탐지
- 설계 입력~변경관리 연결 AI 기반 설계관리 워크플로 통합 설계 (ChatGPT, Claude Code, Claude Cowork, n8n)</t>
  </si>
  <si>
    <t>설계관리 전주기 개요: IEC 62304·ISO 14971 기반 프로세스 이해</t>
  </si>
  <si>
    <t>URS–SRS–TC–ECO–Traceability 구조와 AI 협업 환경 소개</t>
  </si>
  <si>
    <t>생성형 AI 도구별 역할 이해: ChatGPT, Claude, Claude Cowork, Claude Code</t>
  </si>
  <si>
    <t>AI로 URS 구조화: Claude·ChatGPT로 자연어 요구사항 정형화 실습</t>
  </si>
  <si>
    <t>Claude Cowork로 URS 협업 검토 및 구조화 결과 최적화 실습</t>
  </si>
  <si>
    <t>SRS 초안 자동 생성: ChatGPT·Claude로 문서 일관성·논리 검증 실습</t>
  </si>
  <si>
    <t>SRS→TC 자동 변환: ChatGPT로 검증 가능한 TC 생성 실습</t>
  </si>
  <si>
    <t>TC 표준 문서 출력: Excel·Google AI Studio 연계 자동화 실습</t>
  </si>
  <si>
    <t>ECO 변경 영향 자동 식별: Claude Code로 영향 항목 탐지 실습</t>
  </si>
  <si>
    <t>ECO 알림 설계: Claude Cowork·n8n으로 변경 알림 워크플로 구축 실습</t>
  </si>
  <si>
    <t>ECO 실제 사례 적용: 의료기기 설계 변경 시나리오 AI 분석 실습</t>
  </si>
  <si>
    <t>2일차 종합 정리: TC 자동화·ECO 식별 결과 검토 및 피드백</t>
  </si>
  <si>
    <t>Traceability 매트릭스 AI 자동 생성: Claude Code·ChatGPT 활용 실습</t>
  </si>
  <si>
    <t>Traceability 누락 탐지: Excel·Google AI Studio 연계 검증 실습</t>
  </si>
  <si>
    <t>AI 워크플로 통합 설계: ChatGPT·Claude Code·Claude Cowork·n8n 연결 실습</t>
  </si>
  <si>
    <t>최종 산출물 완성: 설계관리 전주기 AI 자동화 결과물 통합</t>
  </si>
  <si>
    <t>최종 산출물 발표: 팀별 AI 기반 설계관리 워크플로 결과 발표</t>
  </si>
  <si>
    <t>종합 피드백, 현업 AX 적용 전략 수립 및 Q&amp;A</t>
  </si>
  <si>
    <t>IEC 62304·ISO 14971 기반 설계관리 전주기의 구조와 URS–SRS–TC–ECO–Traceability 간 관계를 이해하고, ChatGPT·Claude·Claude Cowork·Claude Code의 도구별 역할을 파악한다. 오후에는 Claude·ChatGPT로 자연어 요구사항을 구조화된 URS로 자동 변환하고 Claude Cowork으로 협업 검토하며, ChatGPT·Claude를 활용하여 SRS 초안을 자동 생성하고 문서 일관성·논리를 검증하는 실습을 진행한다.</t>
  </si>
  <si>
    <t>ChatGPT로 SRS 기반 검증 가능한 TC를 자동 생성하고 Excel·Google AI Studio 연계로 표준 문서로 출력하는 실습을 진행한다. Claude Code로 설계 변경 시 영향 항목을 자동 식별하고, Claude Cowork·n8n으로 변경 알림 워크플로를 구축하는 실습을 수행한다. 실제 의료기기 설계 변경 시나리오에 AI를 적용하여 ECO 변경 영향 분석을 실습하고, TC 자동화와 ECO 식별 결과를 종합 검토한다.</t>
  </si>
  <si>
    <t>Claude Code·ChatGPT로 요구–설계–검증–위험 간 Traceability 매트릭스를 AI로 자동 생성하고 Excel·Google AI Studio로 누락을 탐지하는 실습을 진행한다. ChatGPT·Claude Code·Claude Cowork·n8n을 연결하여 설계 입력부터 변경관리까지 통합된 AI 워크플로를 설계하고, 3일간의 산출물을 통합하여 팀별 발표와 피드백을 통해 현업 AX 적용 전략을 수립한다.</t>
  </si>
  <si>
    <t>강의: 슬라이드 및 의료기기 설계관리 사례 자료를 활용하여 IEC 62304·ISO 14971 기반 설계관리 전주기와 AI 협업 환경을 시각적으로 설명
실습: Claude·ChatGPT·Claude Cowork로 URS 구조화 및 SRS 자동 생성, ChatGPT·Excel·Google AI Studio로 TC 자동 변환, Claude Code·n8n으로 ECO 변경 영향 자동 식별 및 알림 설계, Traceability 매트릭스 AI 자동 생성, 설계관리 AI 워크플로 통합 설계 실습, 최종 산출물 완성 프로젝트 수행
토론: 의료기기 R&amp;D 현장의 설계관리 AI 전환 적용 방안에 대한 그룹 토론을 통해 실무 적용 능력 배양
Q&amp;A: 실시간 질문을 통해 이해도 점검 및 피드백 제공</t>
  </si>
  <si>
    <t>가. 평가시점 : 교과목 수업 종료시
나. 평가내용 
• Claude·ChatGPT·Claude Cowork를 활용한 URS 구조화 및 SRS 자동 생성 능력
• ChatGPT·Excel·Google AI Studio를 활용한 TC 자동 변환 및 ECO 변경 영향 자동 식별 능력
• Traceability 매트릭스 AI 자동 생성 및 AI 기반 설계관리 워크플로 통합 설계 능력
다. 평가방법
• 결과평가 : 최종 산출물(설계관리 전주기 AI 자동화 결과물 및 통합 워크플로 설계서) 제출 및 구두발표</t>
  </si>
  <si>
    <t>* 의료기기 품질·임상·공정 데이터 구조 이해 및 직무별 데이터 흐름 분석
* ISO 13485·MFDS·FDA 기준 반영 통합 KPI 체계 설계 및 의사결정 구조 수립
* 코드작성 없이 AI를 활용하여 Python/Pandas 기반 데이터 정제·구조화 및 바이브코딩 KPI 자동 계산 실습
* Streamlit 기반 KPI 대시보드 설계·구현 및 인터랙티브 시각화 실습
* GPT 기반 KPI 자동 해석 코멘트 생성 및 분석 자동화 실습
* 데이터 수집→정제→KPI→시각화→AI 코멘트→자동 리포트 통합 워크플로 구축 역량 함양</t>
    <phoneticPr fontId="2" type="noConversion"/>
  </si>
  <si>
    <t>Python/Pandas 기반 데이터 정제 및 구조화 실습 (ChatGPT, ClaudeCode 활용)</t>
    <phoneticPr fontId="2" type="noConversion"/>
  </si>
  <si>
    <t>Python/Pandas 데이터 전처리 심화 실습 (ChatGPT, ClaudeCode 활용)</t>
    <phoneticPr fontId="2" type="noConversion"/>
  </si>
  <si>
    <t>최종 산출물 완성: KPI 대시보드·AI 리포트·통합 워크플로</t>
    <phoneticPr fontId="2" type="noConversion"/>
  </si>
  <si>
    <t>1. 의료기기 품질·임상·공정 데이터 구조 이해 및 직무별 데이터 흐름 분석
2. 통합 KPI 체계 설계 및 규제 기반 의사결정 구조 수립 (ISO 13485, MFDS, FDA 기준 반영)
3. AI를 활용한 Python/Pandas 기반 데이터 정제 및 구조화 실습 (Python, Pandas, ChatGPT, Claude Code)
4. 바이브코딩을 활용한 KPI 자동 계산 코드 생성 (ChatGPT, Claude Code)
5. Streamlit 기반 KPI 대시보드 설계 및 앱 구현 (Claude Code, Python, Streamlit, ChatGPT)
6. 부서 통합 데이터 시각화 및 인터랙티브 기능 구현 (Claude Code, Streamlit, Pandas)
7. GPT 기반 KPI 자동 해석 코멘트 생성 및 분석 자동화 (ChatGPT, Claude Code)
8. 데이터 수집 → 정제 → KPI → 시각화 → AI 코멘트 → 자동 리포트 통합 AI 워크플로 구축 (Claude Code, Python, Streamlit, ChatGPT API, Claude API)</t>
    <phoneticPr fontId="2" type="noConversion"/>
  </si>
  <si>
    <t>의료기기 산업 종사자를 대상으로 품질·임상·공정 데이터의 구조를 이해하고, 코드작성 없이 AI(ChatGPT, Claude Code)를 활용하여 Python/Pandas 기반 데이터 정제부터 바이브코딩 KPI 자동 계산, Claude Code·Streamlit 기반 KPI 대시보드 구현, GPT 기반 KPI 자동 해석, 통합 AI 워크플로 구축까지 다루는 AI 전환(AX) 최고급 과정으로, 의료기기 규제(ISO 13485, MFDS, FDA) 기준을 반영한 데이터 기반 의사결정 역량을 강화하는 신기술·융복합 훈련과정</t>
  </si>
  <si>
    <t>의료기기 품질·임상·공정 데이터 구조를 이해하고 직무별 데이터 흐름을 분석한다. ISO 13485·MFDS·FDA 기준을 반영한 통합 KPI 체계를 설계하고, 코드작성 없이 ChatGPT·Claude Code를 활용하여 Python/Pandas 기반 데이터 정제·구조화를 실습한다. 바이브코딩으로 KPI 자동 계산 코드를 생성하고, Claude Code·Streamlit 기반 KPI 대시보드를 설계·구현하며 부서 통합 데이터 시각화와 인터랙티브 기능을 구현한다. ChatGPT·Claude Code 기반 KPI 자동 해석 코멘트 생성과 분석 자동화를 실습하고, 최종적으로 데이터 수집부터 AI 코멘트·자동 리포트까지 통합 AI 워크플로를 구축한다.</t>
  </si>
  <si>
    <t>의료기기 산업 종사자가 품질·임상·공정 데이터의 구조를 이해하고, 코드작성 없이 ChatGPT·Claude Code를 활용한 바이브코딩으로 Python/Pandas 기반 데이터 정제 및 KPI 자동 계산 코드를 생성하고, Claude Code·Streamlit 기반 KPI 대시보드를 구축하며, 규제 기준(ISO 13485, MFDS, FDA)을 반영한 데이터 수집부터 AI 자동 리포트까지 통합 워크플로를 직접 구축할 수 있는 데이터 파이프라인 구축 역량을 습득하는 것을 목표로 함</t>
  </si>
  <si>
    <t>의료기기 데이터 구조와 KPI 체계의 설계 방법론을 명확히 이해하고, 코드작성 없이 ChatGPT·Claude Code를 활용한 실습을 통해 데이터 정제·KPI 계산·대시보드 구현·AI 자동 해석 능력을 키워, 의료기기 업무 현장에서 데이터 기반 의사결정 시간을 획기적으로 단축하고 리포팅 품질을 향상시킬 수 있는 실무 문제 해결 능력을 갖추어 업무 효율성을 높입니다.</t>
  </si>
  <si>
    <t>[데이터 구조·KPI 설계 및 AI 활용 데이터 정제·KPI 자동 계산]
- 의료기기 품질·임상·공정 데이터 구조 이해 및 KPI 체계 설계
- 코드작성 없이 ChatGPT·Claude Code로 Python/Pandas 데이터 정제 및 바이브코딩 KPI 자동 계산</t>
  </si>
  <si>
    <t>[Claude Code·Streamlit 대시보드 및 GPT 기반 자동 해석]
- Claude Code·Streamlit 기반 KPI 대시보드 설계·구현 및 인터랙티브 시각화
- ChatGPT·Claude Code 기반 KPI 자동 해석 코멘트 생성 및 분석 자동화</t>
  </si>
  <si>
    <t>[통합 AI 워크플로 구축 및 최종 산출물]
- 데이터 수집→정제→KPI→시각화→AI 코멘트→자동 리포트 통합 워크플로 구축 (Claude Code, Python, Streamlit, ChatGPT API, Claude API)
- 최종 산출물: KPI 대시보드 앱, AI 자동 리포트, 통합 워크플로</t>
  </si>
  <si>
    <t>강의: 슬라이드 및 의료기기 데이터 분석·KPI 대시보드 사례 자료를 활용하여 데이터 구조·KPI 체계·AI 자동화 방법론을 시각적으로 설명
실습: 코드작성 없이 ChatGPT·Claude Code를 활용한 Python/Pandas 데이터 정제, 바이브코딩 KPI 자동 계산 코드 생성, Claude Code·Streamlit 대시보드 구현, GPT 기반 자동 해석, 통합 AI 워크플로 구축 실습, 최종 산출물 완성 프로젝트 수행
토론: 의료기기 업무 현장의 데이터 기반 의사결정 및 AI 리포팅 활용 방안에 대한 그룹 토론을 통해 실무 적용 능력 배양
Q&amp;A: 실시간 질문을 통해 이해도 점검 및 피드백 제공</t>
  </si>
  <si>
    <t>가. 평가시점 : 교과목 수업 종료시
나. 평가내용 
• ChatGPT·Claude Code를 활용한 Python/Pandas 데이터 정제 및 바이브코딩 KPI 자동 계산 능력
• Claude Code·Streamlit 기반 KPI 대시보드 설계·구현 능력
• GPT 기반 KPI 자동 해석 및 통합 AI 워크플로 구축 능력
다. 평가방법
• 결과평가 : 최종 산출물(KPI 대시보드 앱, AI 자동 리포트 시스템, 통합 워크플로) 제출 및 구두발표</t>
  </si>
  <si>
    <t>바이브코딩으로 KPI 자동 계산 코드 생성 (ChatGPT, Claude Code)</t>
  </si>
  <si>
    <t>Claude Code·Streamlit 기반 KPI 대시보드 설계 및 UI 구성 (ChatGPT 활용)</t>
  </si>
  <si>
    <t>Claude Code·Streamlit 대시보드 앱 구현 실습 (Python, Streamlit)</t>
  </si>
  <si>
    <t>부서 통합 데이터 시각화 실습 (Claude Code, Streamlit, Pandas)</t>
  </si>
  <si>
    <t>인터랙티브 기능 구현: 필터·드릴다운·동적 차트 (Claude Code, Streamlit)</t>
  </si>
  <si>
    <t>GPT 기반 KPI 자동 해석 코멘트 생성 실습 (ChatGPT, Claude Code)</t>
  </si>
  <si>
    <t>AI 코멘트→자동 리포트 연결 및 ChatGPT API·Claude API 연동 실습</t>
  </si>
  <si>
    <t>통합 AI 워크플로 구축 실습 (Claude Code, Python, Streamlit, ChatGPT API)</t>
  </si>
  <si>
    <t>의료기기 품질·임상·공정 데이터의 구조를 이해하고 직무별 데이터 흐름을 분석한 후, ISO 13485·MFDS·FDA 기준을 반영한 통합 KPI 체계를 설계하고 규제 기반 의사결정 구조를 수립한다. 코드작성 없이 ChatGPT·Claude Code를 활용하여 Python/Pandas 기반 데이터 정제·구조화를 실습하고, 바이브코딩을 통해 KPI 자동 계산 코드를 생성·검증하는 실습을 진행한다.</t>
  </si>
  <si>
    <t>ChatGPT를 활용하여 Claude Code·Streamlit 기반 KPI 대시보드를 설계하고 실제 앱을 구현하는 실습을 진행한다. Claude Code·Streamlit·Pandas로 부서 통합 데이터 시각화와 필터·드릴다운·동적 차트 등 인터랙티브 기능을 구현한 후, ChatGPT·Claude Code를 활용하여 GPT 기반 KPI 자동 해석 코멘트 생성과 분석 자동화를 실습하여 대시보드에 AI 해석 기능을 통합한다.</t>
  </si>
  <si>
    <t>데이터 수집부터 정제→KPI 계산→시각화→AI 코멘트→자동 리포트까지 연결되는 통합 AI 워크플로를 설계하고, ChatGPT API·Claude API를 연동하여 Claude Code·Python·Streamlit 기반 통합 시스템을 구축하는 실습을 진행한다. 3일간의 학습 내용을 종합하여 KPI 대시보드 앱, AI 자동 리포트 시스템, 통합 워크플로를 최종 산출물로 완성하고 팀별 발표를 통해 결과를 공유한다.</t>
  </si>
  <si>
    <t>{{edu_future}}</t>
    <phoneticPr fontId="2" type="noConversion"/>
  </si>
  <si>
    <t>{{edu_needreason}}</t>
    <phoneticPr fontId="2" type="noConversion"/>
  </si>
  <si>
    <t>사업 필요성&amp;목적</t>
    <phoneticPr fontId="2" type="noConversion"/>
  </si>
  <si>
    <t>기획자들의 경우 개발자와의 커뮤니케이션에서 어려움을 겪는 경우가 많음, 또한 관련 직무의 수요조사 결과 관련된 교육의 필요성이 제기됨 본 과정은 이런 소통과 기획자의 직무에 필요한 IT관련 기초지식을 배양하여 직무관련 역량을 높이며, 바이브코딩을 통해 업무의 프로세스와 효율을 높일 수 있다</t>
    <phoneticPr fontId="2" type="noConversion"/>
  </si>
  <si>
    <t>{{edu_curri}}</t>
    <phoneticPr fontId="2" type="noConversion"/>
  </si>
  <si>
    <t>커리큘럼 요약</t>
    <phoneticPr fontId="2" type="noConversion"/>
  </si>
  <si>
    <t>LLM(예: ChatGPT, Claude)의 구조와 생성형 AI 패러다임을 이해하고, 의료·바이오 산업에서의 적용 가능성과 한계를 학습하며 기초 툴을 실습한다. 업무 전환을 위해 프롬프트의 기본 구조와 컨텍스트 설계, 페르소나 설정 및 출력 제어 방법을 익히고 직무별 적용 실습을 진행한다. 의료 AI 윤리, 개인정보 비식별화, 저작권 및 사내 보안 가이드라인을 학습하여 민감정보를 안전하게 처리하는 역량을 강화한다.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</si>
</sst>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i/>
      <sz val="11"/>
      <color rgb="FFC00000"/>
      <name val="맑은 고딕"/>
      <family val="3"/>
      <charset val="129"/>
      <scheme val="minor"/>
    </font>
    <font>
      <sz val="10"/>
      <color theme="1"/>
      <name val="맑은 고딕"/>
      <family val="3"/>
      <charset val="129"/>
      <scheme val="minor"/>
    </font>
    <font>
      <b/>
      <sz val="11"/>
      <color theme="1"/>
      <name val="맑은 고딕"/>
      <family val="3"/>
      <charset val="129"/>
      <scheme val="minor"/>
    </font>
    <font>
      <sz val="11"/>
      <color theme="1"/>
      <name val="Arial"/>
      <family val="3"/>
      <charset val="129"/>
    </font>
    <font>
      <sz val="11"/>
      <color theme="1"/>
      <name val="맑은 고딕"/>
      <family val="3"/>
      <charset val="129"/>
    </font>
    <font>
      <sz val="8"/>
      <name val="돋움"/>
      <family val="3"/>
      <charset val="129"/>
    </font>
    <font>
      <sz val="11"/>
      <color theme="1"/>
      <name val="Arial"/>
      <family val="2"/>
      <charset val="129"/>
    </font>
  </fonts>
  <fills count="10">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theme="0" tint="-0.34998626667073579"/>
      </right>
      <top/>
      <bottom/>
      <diagonal/>
    </border>
    <border>
      <left style="thin">
        <color indexed="64"/>
      </left>
      <right/>
      <top style="thin">
        <color indexed="64"/>
      </top>
      <bottom/>
      <diagonal/>
    </border>
    <border>
      <left style="thin">
        <color indexed="64"/>
      </left>
      <right/>
      <top/>
      <bottom/>
      <diagonal/>
    </border>
  </borders>
  <cellStyleXfs count="1">
    <xf numFmtId="0" fontId="0" fillId="0" borderId="0">
      <alignment vertical="center"/>
    </xf>
  </cellStyleXfs>
  <cellXfs count="78">
    <xf numFmtId="0" fontId="0" fillId="0" borderId="0" xfId="0">
      <alignment vertical="center"/>
    </xf>
    <xf numFmtId="0" fontId="0" fillId="0" borderId="1" xfId="0" applyBorder="1">
      <alignment vertical="center"/>
    </xf>
    <xf numFmtId="0" fontId="0" fillId="2" borderId="1" xfId="0" applyFill="1" applyBorder="1">
      <alignment vertical="center"/>
    </xf>
    <xf numFmtId="0" fontId="1" fillId="2" borderId="1" xfId="0" applyFont="1" applyFill="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1" fillId="2"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0" xfId="0" applyFill="1" applyAlignment="1">
      <alignment horizontal="center" vertical="center"/>
    </xf>
    <xf numFmtId="0" fontId="0" fillId="0" borderId="0" xfId="0" applyAlignment="1" applyProtection="1">
      <alignment vertical="center" wrapText="1"/>
      <protection locked="0"/>
    </xf>
    <xf numFmtId="0" fontId="0" fillId="0" borderId="0" xfId="0" applyProtection="1">
      <alignment vertical="center"/>
      <protection locked="0"/>
    </xf>
    <xf numFmtId="0" fontId="0" fillId="3"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 xfId="0" applyBorder="1" applyProtection="1">
      <alignment vertical="center"/>
      <protection locked="0"/>
    </xf>
    <xf numFmtId="0" fontId="0" fillId="2" borderId="1" xfId="0" applyFill="1" applyBorder="1" applyProtection="1">
      <alignment vertical="center"/>
      <protection locked="0"/>
    </xf>
    <xf numFmtId="0" fontId="0" fillId="2" borderId="1" xfId="0" applyFill="1" applyBorder="1" applyAlignment="1" applyProtection="1">
      <alignment horizontal="center" vertical="center"/>
      <protection locked="0"/>
    </xf>
    <xf numFmtId="0" fontId="3" fillId="5" borderId="7" xfId="0" applyFont="1" applyFill="1" applyBorder="1" applyAlignment="1" applyProtection="1">
      <alignment horizontal="left" vertical="center" wrapText="1"/>
      <protection locked="0"/>
    </xf>
    <xf numFmtId="0" fontId="4" fillId="0" borderId="1" xfId="0" applyFont="1" applyBorder="1" applyAlignment="1">
      <alignment vertical="center" wrapText="1"/>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8" xfId="0" applyFont="1" applyFill="1" applyBorder="1" applyAlignment="1">
      <alignment horizontal="center" vertical="center"/>
    </xf>
    <xf numFmtId="0" fontId="0" fillId="0" borderId="0" xfId="0" applyAlignment="1"/>
    <xf numFmtId="0" fontId="0" fillId="0" borderId="1" xfId="0" applyBorder="1" applyAlignment="1"/>
    <xf numFmtId="0" fontId="6" fillId="0" borderId="0" xfId="0" applyFont="1" applyAlignment="1"/>
    <xf numFmtId="0" fontId="9" fillId="0" borderId="0" xfId="0" applyFont="1" applyAlignment="1"/>
    <xf numFmtId="0" fontId="0" fillId="7" borderId="1" xfId="0" applyFill="1" applyBorder="1" applyAlignment="1">
      <alignment horizontal="center" vertical="center"/>
    </xf>
    <xf numFmtId="0" fontId="0" fillId="0" borderId="2" xfId="0" applyBorder="1" applyAlignment="1" applyProtection="1">
      <alignment horizontal="center" vertical="center"/>
      <protection locked="0"/>
    </xf>
    <xf numFmtId="0" fontId="0" fillId="4" borderId="2" xfId="0" applyFill="1" applyBorder="1" applyAlignment="1">
      <alignment horizontal="center" vertical="center"/>
    </xf>
    <xf numFmtId="0" fontId="0" fillId="8" borderId="1" xfId="0" applyFill="1" applyBorder="1" applyAlignment="1">
      <alignment horizontal="center" vertical="center"/>
    </xf>
    <xf numFmtId="0" fontId="0" fillId="4" borderId="1" xfId="0"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3" borderId="1" xfId="0" applyFill="1" applyBorder="1" applyAlignment="1">
      <alignmen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2" xfId="0" applyBorder="1">
      <alignment vertical="center"/>
    </xf>
    <xf numFmtId="0" fontId="0" fillId="0" borderId="0" xfId="0" applyAlignment="1">
      <alignment horizontal="left" vertical="center"/>
    </xf>
    <xf numFmtId="0" fontId="0" fillId="0" borderId="1" xfId="0" applyBorder="1" applyAlignment="1">
      <alignment horizontal="left" vertical="center" wrapText="1"/>
    </xf>
    <xf numFmtId="0" fontId="3" fillId="5" borderId="0" xfId="0" applyFont="1" applyFill="1" applyAlignment="1" applyProtection="1">
      <alignment horizontal="left" vertical="center" wrapText="1"/>
      <protection locked="0"/>
    </xf>
    <xf numFmtId="0" fontId="0" fillId="3" borderId="2" xfId="0" applyFill="1" applyBorder="1" applyAlignment="1">
      <alignment vertical="center" wrapText="1"/>
    </xf>
    <xf numFmtId="0" fontId="0" fillId="0" borderId="0" xfId="0" applyAlignment="1">
      <alignment horizontal="left" vertical="top" wrapText="1"/>
    </xf>
    <xf numFmtId="0" fontId="0" fillId="0" borderId="1" xfId="0" applyBorder="1" applyAlignment="1" applyProtection="1">
      <alignment horizontal="left" vertical="center"/>
      <protection locked="0"/>
    </xf>
    <xf numFmtId="0" fontId="0" fillId="0" borderId="5" xfId="0" applyBorder="1" applyAlignment="1" applyProtection="1">
      <alignment horizontal="left" vertical="center"/>
      <protection locked="0"/>
    </xf>
    <xf numFmtId="0" fontId="3" fillId="5" borderId="7" xfId="0" applyFont="1" applyFill="1" applyBorder="1" applyAlignment="1" applyProtection="1">
      <alignment horizontal="left" vertical="center" wrapText="1"/>
      <protection locked="0"/>
    </xf>
    <xf numFmtId="0" fontId="0" fillId="9" borderId="0" xfId="0" applyFill="1"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right" vertical="center"/>
      <protection locked="0"/>
    </xf>
    <xf numFmtId="0" fontId="0" fillId="0" borderId="5" xfId="0" applyBorder="1" applyAlignment="1" applyProtection="1">
      <alignment horizontal="right" vertical="center"/>
      <protection locked="0"/>
    </xf>
    <xf numFmtId="0" fontId="0" fillId="8" borderId="0" xfId="0" applyFill="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3" borderId="1" xfId="0" applyFill="1" applyBorder="1" applyAlignment="1">
      <alignment horizontal="left" vertical="center"/>
    </xf>
    <xf numFmtId="0" fontId="0" fillId="0" borderId="2" xfId="0" applyBorder="1" applyAlignment="1" applyProtection="1">
      <alignment horizontal="left" vertical="center" wrapText="1"/>
      <protection locked="0"/>
    </xf>
    <xf numFmtId="0" fontId="0" fillId="0" borderId="2"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3" fillId="5" borderId="12" xfId="0" applyFont="1" applyFill="1" applyBorder="1" applyAlignment="1" applyProtection="1">
      <alignment horizontal="center" vertical="center" wrapText="1"/>
      <protection locked="0"/>
    </xf>
    <xf numFmtId="0" fontId="3" fillId="5" borderId="0" xfId="0" applyFont="1" applyFill="1" applyAlignment="1" applyProtection="1">
      <alignment horizontal="center" vertical="center" wrapText="1"/>
      <protection locked="0"/>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3" borderId="0" xfId="0" applyFill="1" applyAlignment="1">
      <alignment vertical="center" wrapText="1"/>
    </xf>
  </cellXfs>
  <cellStyles count="1">
    <cellStyle name="표준" xfId="0" builtinId="0"/>
  </cellStyles>
  <dxfs count="0"/>
  <tableStyles count="0" defaultTableStyle="TableStyleMedium2" defaultPivotStyle="PivotStyleLight16"/>
  <colors>
    <mruColors>
      <color rgb="FFFFFFCC"/>
      <color rgb="FFFFE6CD"/>
      <color rgb="FFFFCC99"/>
      <color rgb="FFFFF0E1"/>
      <color rgb="FFFFE4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3"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1448CB-BE67-44B7-81F1-E6A03B01505D}">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7222-1C4A-4977-825A-05652038EDE2}">
  <dimension ref="A1:A3"/>
  <sheetViews>
    <sheetView tabSelected="1" workbookViewId="0">
      <selection activeCell="A2" sqref="A2:A3"/>
    </sheetView>
  </sheetViews>
  <sheetFormatPr defaultRowHeight="16.5" x14ac:dyDescent="0.3"/>
  <cols>
    <col min="1" max="1" width="126" customWidth="1"/>
  </cols>
  <sheetData>
    <row r="1" spans="1:1" x14ac:dyDescent="0.3">
      <c r="A1" t="s">
        <v>512</v>
      </c>
    </row>
    <row r="2" spans="1:1" ht="409.5" customHeight="1" x14ac:dyDescent="0.3">
      <c r="A2" s="42" t="s">
        <v>513</v>
      </c>
    </row>
    <row r="3" spans="1:1" ht="409.5" customHeight="1" x14ac:dyDescent="0.3">
      <c r="A3" s="42"/>
    </row>
  </sheetData>
  <mergeCells count="1">
    <mergeCell ref="A2:A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BB93-B60F-4C58-8AE7-85717DDFEE60}">
  <dimension ref="A1:O142"/>
  <sheetViews>
    <sheetView topLeftCell="A25" zoomScaleNormal="100" workbookViewId="0">
      <selection activeCell="C29" sqref="C29:I2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6" t="s">
        <v>231</v>
      </c>
      <c r="B1" s="46"/>
      <c r="C1" s="46"/>
      <c r="D1" s="46"/>
      <c r="E1" s="46"/>
      <c r="F1" s="46"/>
      <c r="G1" s="46"/>
      <c r="H1" s="46"/>
      <c r="I1" s="46"/>
      <c r="J1" s="46"/>
      <c r="K1" s="46"/>
    </row>
    <row r="2" spans="1:15" ht="21.75" customHeight="1" x14ac:dyDescent="0.3">
      <c r="B2" s="4" t="s">
        <v>205</v>
      </c>
      <c r="C2" s="43" t="s">
        <v>346</v>
      </c>
      <c r="D2" s="43"/>
      <c r="E2" s="43"/>
      <c r="F2" s="43"/>
      <c r="G2" s="43"/>
      <c r="H2" s="43"/>
      <c r="I2" s="44"/>
      <c r="J2" s="45"/>
      <c r="K2" s="45"/>
      <c r="L2" s="10"/>
      <c r="M2" s="10"/>
      <c r="N2" s="10"/>
      <c r="O2" s="10"/>
    </row>
    <row r="3" spans="1:15" ht="21.75" customHeight="1" x14ac:dyDescent="0.3">
      <c r="A3" s="11" t="s">
        <v>169</v>
      </c>
      <c r="B3" s="4" t="s">
        <v>23</v>
      </c>
      <c r="C3" s="43" t="s">
        <v>525</v>
      </c>
      <c r="D3" s="43"/>
      <c r="E3" s="43"/>
      <c r="F3" s="43"/>
      <c r="G3" s="43"/>
      <c r="H3" s="43"/>
      <c r="I3" s="44"/>
      <c r="J3" s="45" t="s">
        <v>226</v>
      </c>
      <c r="K3" s="45"/>
      <c r="L3" s="10"/>
      <c r="M3" s="10"/>
      <c r="N3" s="10"/>
      <c r="O3" s="10"/>
    </row>
    <row r="4" spans="1:15" ht="156.75" customHeight="1" x14ac:dyDescent="0.3">
      <c r="B4" s="4" t="s">
        <v>230</v>
      </c>
      <c r="C4" s="47" t="s">
        <v>345</v>
      </c>
      <c r="D4" s="43"/>
      <c r="E4" s="43"/>
      <c r="F4" s="43"/>
      <c r="G4" s="43"/>
      <c r="H4" s="43"/>
      <c r="I4" s="44"/>
      <c r="J4" s="45"/>
      <c r="K4" s="45"/>
      <c r="L4" s="10"/>
      <c r="M4" s="10"/>
      <c r="N4" s="10"/>
      <c r="O4" s="10"/>
    </row>
    <row r="5" spans="1:15" ht="21.75" customHeight="1" x14ac:dyDescent="0.3">
      <c r="A5" s="11" t="s">
        <v>188</v>
      </c>
      <c r="B5" s="4" t="s">
        <v>184</v>
      </c>
      <c r="C5" s="43" t="str">
        <f>VLOOKUP($C$2,통합!A2:J52,2,FALSE)</f>
        <v>20.정보통신</v>
      </c>
      <c r="D5" s="43"/>
      <c r="E5" s="43"/>
      <c r="F5" s="43"/>
      <c r="G5" s="43"/>
      <c r="H5" s="43"/>
      <c r="I5" s="44"/>
      <c r="J5" s="45"/>
      <c r="K5" s="45"/>
      <c r="L5" s="10"/>
      <c r="M5" s="10"/>
      <c r="N5" s="10"/>
      <c r="O5" s="10"/>
    </row>
    <row r="6" spans="1:15" ht="21.75" customHeight="1" x14ac:dyDescent="0.3">
      <c r="A6" s="11" t="s">
        <v>189</v>
      </c>
      <c r="B6" s="4" t="s">
        <v>185</v>
      </c>
      <c r="C6" s="43" t="str">
        <f>VLOOKUP($C$2,통합!A2:J52,3,FALSE)</f>
        <v>01.정보기술</v>
      </c>
      <c r="D6" s="43"/>
      <c r="E6" s="43"/>
      <c r="F6" s="43"/>
      <c r="G6" s="43"/>
      <c r="H6" s="43"/>
      <c r="I6" s="44"/>
      <c r="J6" s="45"/>
      <c r="K6" s="45"/>
      <c r="L6" s="10"/>
      <c r="M6" s="10"/>
      <c r="N6" s="10"/>
      <c r="O6" s="10"/>
    </row>
    <row r="7" spans="1:15" ht="21.75" customHeight="1" x14ac:dyDescent="0.3">
      <c r="A7" s="11" t="s">
        <v>190</v>
      </c>
      <c r="B7" s="4" t="s">
        <v>186</v>
      </c>
      <c r="C7" s="43" t="str">
        <f>VLOOKUP($C$2,통합!A2:J52,4,FALSE)</f>
        <v xml:space="preserve">07.인공지능 </v>
      </c>
      <c r="D7" s="43"/>
      <c r="E7" s="43"/>
      <c r="F7" s="43"/>
      <c r="G7" s="43"/>
      <c r="H7" s="43"/>
      <c r="I7" s="44"/>
      <c r="J7" s="45"/>
      <c r="K7" s="45"/>
      <c r="L7" s="10"/>
      <c r="M7" s="10"/>
      <c r="N7" s="10"/>
      <c r="O7" s="10"/>
    </row>
    <row r="8" spans="1:15" ht="21.75" customHeight="1" x14ac:dyDescent="0.3">
      <c r="A8" s="11" t="s">
        <v>191</v>
      </c>
      <c r="B8" s="4" t="s">
        <v>187</v>
      </c>
      <c r="C8" s="43" t="str">
        <f>VLOOKUP($C$2,통합!A2:J52,8,FALSE)&amp;"."&amp;VLOOKUP($C$2,통합!A2:J52,9,FALSE)</f>
        <v>05.프롬프트 구현</v>
      </c>
      <c r="D8" s="43"/>
      <c r="E8" s="43"/>
      <c r="F8" s="43"/>
      <c r="G8" s="43"/>
      <c r="H8" s="43"/>
      <c r="I8" s="44"/>
      <c r="J8" s="45"/>
      <c r="K8" s="45"/>
      <c r="L8" s="10"/>
      <c r="M8" s="10"/>
      <c r="N8" s="10"/>
      <c r="O8" s="10"/>
    </row>
    <row r="9" spans="1:15" ht="21.75" customHeight="1" x14ac:dyDescent="0.3">
      <c r="A9" s="11" t="s">
        <v>210</v>
      </c>
      <c r="B9" s="4" t="s">
        <v>176</v>
      </c>
      <c r="C9" s="43" t="str">
        <f>VLOOKUP($C$2,통합!A2:J52,7,FALSE)</f>
        <v>2001070705_25v1</v>
      </c>
      <c r="D9" s="43"/>
      <c r="E9" s="43"/>
      <c r="F9" s="43"/>
      <c r="G9" s="43"/>
      <c r="H9" s="43"/>
      <c r="I9" s="44"/>
      <c r="J9" s="45"/>
      <c r="K9" s="45"/>
      <c r="L9" s="10"/>
      <c r="M9" s="10"/>
      <c r="N9" s="10"/>
      <c r="O9" s="10"/>
    </row>
    <row r="10" spans="1:15" ht="21.75" customHeight="1" x14ac:dyDescent="0.3">
      <c r="A10" s="11" t="s">
        <v>208</v>
      </c>
      <c r="B10" s="4" t="s">
        <v>24</v>
      </c>
      <c r="C10" s="43">
        <f>VLOOKUP($C$2,통합!A2:J52,6,FALSE)</f>
        <v>5</v>
      </c>
      <c r="D10" s="43"/>
      <c r="E10" s="43"/>
      <c r="F10" s="43"/>
      <c r="G10" s="43"/>
      <c r="H10" s="43"/>
      <c r="I10" s="44"/>
      <c r="J10" s="45"/>
      <c r="K10" s="45"/>
      <c r="L10" s="10"/>
      <c r="M10" s="10"/>
      <c r="N10" s="10"/>
      <c r="O10" s="10"/>
    </row>
    <row r="11" spans="1:15" ht="21.75" customHeight="1" x14ac:dyDescent="0.3">
      <c r="A11" s="11" t="s">
        <v>174</v>
      </c>
      <c r="B11" s="4" t="s">
        <v>15</v>
      </c>
      <c r="C11" s="48" t="str">
        <f>F78&amp;"시간( "&amp;K131&amp;"일)"</f>
        <v>1시간( 1일)</v>
      </c>
      <c r="D11" s="48"/>
      <c r="E11" s="48"/>
      <c r="F11" s="48"/>
      <c r="G11" s="48"/>
      <c r="H11" s="48"/>
      <c r="I11" s="49"/>
      <c r="J11" s="18" t="s">
        <v>175</v>
      </c>
      <c r="K11" s="18"/>
      <c r="L11" s="10"/>
      <c r="M11" s="10"/>
      <c r="N11" s="10"/>
      <c r="O11" s="10"/>
    </row>
    <row r="12" spans="1:15" ht="28.5" customHeight="1" x14ac:dyDescent="0.3">
      <c r="A12" s="50" t="s">
        <v>232</v>
      </c>
      <c r="B12" s="50"/>
      <c r="C12" s="50"/>
      <c r="D12" s="50"/>
      <c r="E12" s="50"/>
      <c r="F12" s="50"/>
      <c r="G12" s="50"/>
      <c r="H12" s="50"/>
      <c r="I12" s="50"/>
      <c r="J12" s="50"/>
      <c r="K12" s="51"/>
      <c r="L12" s="10"/>
      <c r="M12" s="10"/>
      <c r="N12" s="10"/>
      <c r="O12" s="10"/>
    </row>
    <row r="13" spans="1:15" ht="21.75" customHeight="1" x14ac:dyDescent="0.3">
      <c r="A13" s="11" t="s">
        <v>172</v>
      </c>
      <c r="B13" s="4" t="s">
        <v>21</v>
      </c>
      <c r="C13" s="43" t="s">
        <v>534</v>
      </c>
      <c r="D13" s="43"/>
      <c r="E13" s="43"/>
      <c r="F13" s="43"/>
      <c r="G13" s="43"/>
      <c r="H13" s="43"/>
      <c r="I13" s="44"/>
      <c r="J13" s="45" t="s">
        <v>37</v>
      </c>
      <c r="K13" s="45"/>
      <c r="L13" s="10"/>
      <c r="M13" s="10"/>
      <c r="N13" s="10"/>
      <c r="O13" s="10"/>
    </row>
    <row r="14" spans="1:15" ht="21.75" customHeight="1" x14ac:dyDescent="0.3">
      <c r="A14" s="11" t="s">
        <v>222</v>
      </c>
      <c r="B14" s="4" t="s">
        <v>223</v>
      </c>
      <c r="C14" s="43" t="s">
        <v>648</v>
      </c>
      <c r="D14" s="43"/>
      <c r="E14" s="43"/>
      <c r="F14" s="43"/>
      <c r="G14" s="43"/>
      <c r="H14" s="43"/>
      <c r="I14" s="44"/>
      <c r="J14" s="45" t="s">
        <v>224</v>
      </c>
      <c r="K14" s="45"/>
      <c r="L14" s="10"/>
      <c r="M14" s="10"/>
      <c r="N14" s="10"/>
      <c r="O14" s="10"/>
    </row>
    <row r="15" spans="1:15" ht="21.75" customHeight="1" x14ac:dyDescent="0.3">
      <c r="A15" s="11" t="s">
        <v>182</v>
      </c>
      <c r="B15" s="4" t="s">
        <v>178</v>
      </c>
      <c r="C15" s="43" t="s">
        <v>535</v>
      </c>
      <c r="D15" s="43"/>
      <c r="E15" s="43"/>
      <c r="F15" s="43"/>
      <c r="G15" s="43"/>
      <c r="H15" s="43"/>
      <c r="I15" s="44"/>
      <c r="J15" s="45" t="s">
        <v>177</v>
      </c>
      <c r="K15" s="45"/>
      <c r="L15" s="10"/>
      <c r="M15" s="10"/>
      <c r="N15" s="10"/>
      <c r="O15" s="10"/>
    </row>
    <row r="16" spans="1:15" ht="21.75" customHeight="1" x14ac:dyDescent="0.3">
      <c r="A16" s="11" t="s">
        <v>181</v>
      </c>
      <c r="B16" s="4" t="s">
        <v>179</v>
      </c>
      <c r="C16" s="43" t="s">
        <v>536</v>
      </c>
      <c r="D16" s="43"/>
      <c r="E16" s="43"/>
      <c r="F16" s="43"/>
      <c r="G16" s="43"/>
      <c r="H16" s="43"/>
      <c r="I16" s="44"/>
      <c r="J16" s="45" t="s">
        <v>180</v>
      </c>
      <c r="K16" s="45"/>
      <c r="L16" s="10"/>
      <c r="M16" s="10"/>
      <c r="N16" s="10"/>
      <c r="O16" s="10"/>
    </row>
    <row r="17" spans="1:15" ht="48.75" customHeight="1" x14ac:dyDescent="0.3">
      <c r="A17" s="11" t="s">
        <v>171</v>
      </c>
      <c r="B17" s="4" t="s">
        <v>206</v>
      </c>
      <c r="C17" s="43" t="s">
        <v>537</v>
      </c>
      <c r="D17" s="43"/>
      <c r="E17" s="43"/>
      <c r="F17" s="43"/>
      <c r="G17" s="43"/>
      <c r="H17" s="43"/>
      <c r="I17" s="44"/>
      <c r="J17" s="45" t="s">
        <v>170</v>
      </c>
      <c r="K17" s="45"/>
      <c r="L17" s="10"/>
      <c r="M17" s="10"/>
      <c r="N17" s="10"/>
      <c r="O17" s="10"/>
    </row>
    <row r="18" spans="1:15" ht="48.75" customHeight="1" x14ac:dyDescent="0.3">
      <c r="A18" s="11" t="s">
        <v>183</v>
      </c>
      <c r="B18" s="4" t="s">
        <v>207</v>
      </c>
      <c r="C18" s="43" t="s">
        <v>538</v>
      </c>
      <c r="D18" s="43"/>
      <c r="E18" s="43"/>
      <c r="F18" s="43"/>
      <c r="G18" s="43"/>
      <c r="H18" s="43"/>
      <c r="I18" s="44"/>
      <c r="J18" s="45" t="s">
        <v>170</v>
      </c>
      <c r="K18" s="45"/>
      <c r="L18" s="10"/>
      <c r="M18" s="10"/>
      <c r="N18" s="10"/>
      <c r="O18" s="10"/>
    </row>
    <row r="19" spans="1:15" ht="44.25" customHeight="1" x14ac:dyDescent="0.3">
      <c r="A19" s="11" t="s">
        <v>209</v>
      </c>
      <c r="B19" s="4" t="s">
        <v>22</v>
      </c>
      <c r="C19" s="47" t="s">
        <v>539</v>
      </c>
      <c r="D19" s="43"/>
      <c r="E19" s="43"/>
      <c r="F19" s="43"/>
      <c r="G19" s="43"/>
      <c r="H19" s="43"/>
      <c r="I19" s="44"/>
      <c r="J19" s="45" t="s">
        <v>39</v>
      </c>
      <c r="K19" s="45"/>
      <c r="L19" s="10"/>
      <c r="M19" s="10"/>
      <c r="N19" s="10"/>
      <c r="O19" s="10"/>
    </row>
    <row r="20" spans="1:15" ht="28.5" customHeight="1" x14ac:dyDescent="0.3">
      <c r="A20" s="11" t="s">
        <v>212</v>
      </c>
      <c r="B20" s="4" t="s">
        <v>25</v>
      </c>
      <c r="C20" s="43" t="s">
        <v>540</v>
      </c>
      <c r="D20" s="43"/>
      <c r="E20" s="43"/>
      <c r="F20" s="43"/>
      <c r="G20" s="43"/>
      <c r="H20" s="43"/>
      <c r="I20" s="44"/>
      <c r="J20" s="45" t="s">
        <v>40</v>
      </c>
      <c r="K20" s="45"/>
      <c r="L20" s="10"/>
      <c r="M20" s="10"/>
      <c r="N20" s="10"/>
      <c r="O20" s="10"/>
    </row>
    <row r="21" spans="1:15" ht="78" customHeight="1" x14ac:dyDescent="0.3">
      <c r="A21" s="11" t="s">
        <v>213</v>
      </c>
      <c r="B21" s="4" t="s">
        <v>27</v>
      </c>
      <c r="C21" s="47" t="s">
        <v>647</v>
      </c>
      <c r="D21" s="43"/>
      <c r="E21" s="43"/>
      <c r="F21" s="43"/>
      <c r="G21" s="43"/>
      <c r="H21" s="43"/>
      <c r="I21" s="44"/>
      <c r="J21" s="45" t="s">
        <v>41</v>
      </c>
      <c r="K21" s="45"/>
      <c r="L21" s="10"/>
      <c r="M21" s="10"/>
      <c r="N21" s="10"/>
      <c r="O21" s="10"/>
    </row>
    <row r="22" spans="1:15" ht="62.25" customHeight="1" x14ac:dyDescent="0.3">
      <c r="A22" s="11" t="s">
        <v>214</v>
      </c>
      <c r="B22" s="52" t="s">
        <v>28</v>
      </c>
      <c r="C22" s="47" t="s">
        <v>636</v>
      </c>
      <c r="D22" s="43"/>
      <c r="E22" s="43"/>
      <c r="F22" s="43"/>
      <c r="G22" s="43"/>
      <c r="H22" s="43"/>
      <c r="I22" s="44"/>
      <c r="J22" s="45" t="s">
        <v>217</v>
      </c>
      <c r="K22" s="45"/>
      <c r="L22" s="10"/>
      <c r="M22" s="10"/>
      <c r="N22" s="10"/>
      <c r="O22" s="10"/>
    </row>
    <row r="23" spans="1:15" ht="62.25" customHeight="1" x14ac:dyDescent="0.3">
      <c r="A23" s="11" t="s">
        <v>215</v>
      </c>
      <c r="B23" s="52"/>
      <c r="C23" s="47" t="s">
        <v>637</v>
      </c>
      <c r="D23" s="43"/>
      <c r="E23" s="43"/>
      <c r="F23" s="43"/>
      <c r="G23" s="43"/>
      <c r="H23" s="43"/>
      <c r="I23" s="44"/>
      <c r="J23" s="45" t="s">
        <v>218</v>
      </c>
      <c r="K23" s="45"/>
      <c r="L23" s="10"/>
      <c r="M23" s="10"/>
      <c r="N23" s="10"/>
      <c r="O23" s="10"/>
    </row>
    <row r="24" spans="1:15" ht="62.25" customHeight="1" x14ac:dyDescent="0.3">
      <c r="A24" s="11" t="s">
        <v>216</v>
      </c>
      <c r="B24" s="52"/>
      <c r="C24" s="47" t="s">
        <v>638</v>
      </c>
      <c r="D24" s="43"/>
      <c r="E24" s="43"/>
      <c r="F24" s="43"/>
      <c r="G24" s="43"/>
      <c r="H24" s="43"/>
      <c r="I24" s="44"/>
      <c r="J24" s="45" t="s">
        <v>219</v>
      </c>
      <c r="K24" s="45"/>
      <c r="L24" s="10"/>
      <c r="M24" s="10"/>
      <c r="N24" s="10"/>
      <c r="O24" s="10"/>
    </row>
    <row r="25" spans="1:15" ht="83.25" customHeight="1" x14ac:dyDescent="0.3">
      <c r="A25" s="11" t="s">
        <v>220</v>
      </c>
      <c r="B25" s="6" t="s">
        <v>29</v>
      </c>
      <c r="C25" s="47" t="s">
        <v>541</v>
      </c>
      <c r="D25" s="43"/>
      <c r="E25" s="43"/>
      <c r="F25" s="43"/>
      <c r="G25" s="43"/>
      <c r="H25" s="43"/>
      <c r="I25" s="44"/>
      <c r="J25" s="45" t="s">
        <v>45</v>
      </c>
      <c r="K25" s="45"/>
      <c r="L25" s="10"/>
      <c r="M25" s="10"/>
      <c r="N25" s="10"/>
      <c r="O25" s="10"/>
    </row>
    <row r="26" spans="1:15" ht="47.25" customHeight="1" x14ac:dyDescent="0.3">
      <c r="A26" s="11" t="s">
        <v>225</v>
      </c>
      <c r="B26" s="6" t="s">
        <v>46</v>
      </c>
      <c r="C26" s="47" t="s">
        <v>542</v>
      </c>
      <c r="D26" s="43"/>
      <c r="E26" s="43"/>
      <c r="F26" s="43"/>
      <c r="G26" s="43"/>
      <c r="H26" s="43"/>
      <c r="I26" s="44"/>
      <c r="J26" s="45" t="s">
        <v>519</v>
      </c>
      <c r="K26" s="45"/>
      <c r="L26" s="10"/>
      <c r="M26" s="10"/>
      <c r="N26" s="10"/>
      <c r="O26" s="10"/>
    </row>
    <row r="27" spans="1:15" ht="29.25" customHeight="1" x14ac:dyDescent="0.3">
      <c r="A27" s="11" t="s">
        <v>221</v>
      </c>
      <c r="B27" s="4" t="s">
        <v>26</v>
      </c>
      <c r="C27" s="43" t="s">
        <v>48</v>
      </c>
      <c r="D27" s="43"/>
      <c r="E27" s="43"/>
      <c r="F27" s="43"/>
      <c r="G27" s="43"/>
      <c r="H27" s="43"/>
      <c r="I27" s="44"/>
      <c r="J27" s="45" t="s">
        <v>48</v>
      </c>
      <c r="K27" s="45"/>
      <c r="L27" s="10"/>
      <c r="M27" s="10"/>
      <c r="N27" s="10"/>
      <c r="O27" s="10"/>
    </row>
    <row r="28" spans="1:15" ht="218.25" customHeight="1" x14ac:dyDescent="0.3">
      <c r="A28" s="11" t="s">
        <v>739</v>
      </c>
      <c r="B28" s="41" t="s">
        <v>227</v>
      </c>
      <c r="C28" s="53" t="s">
        <v>543</v>
      </c>
      <c r="D28" s="54"/>
      <c r="E28" s="54"/>
      <c r="F28" s="54"/>
      <c r="G28" s="54"/>
      <c r="H28" s="54"/>
      <c r="I28" s="55"/>
      <c r="J28" s="45" t="s">
        <v>228</v>
      </c>
      <c r="K28" s="45"/>
      <c r="L28" s="10"/>
      <c r="M28" s="10"/>
      <c r="N28" s="10"/>
      <c r="O28" s="10"/>
    </row>
    <row r="29" spans="1:15" ht="218.25" customHeight="1" x14ac:dyDescent="0.3">
      <c r="A29" s="11" t="s">
        <v>740</v>
      </c>
      <c r="B29" s="77" t="s">
        <v>741</v>
      </c>
      <c r="C29" s="47"/>
      <c r="D29" s="43"/>
      <c r="E29" s="43"/>
      <c r="F29" s="43"/>
      <c r="G29" s="43"/>
      <c r="H29" s="43"/>
      <c r="I29" s="44"/>
      <c r="J29" s="45" t="s">
        <v>742</v>
      </c>
      <c r="K29" s="45"/>
      <c r="L29" s="10"/>
      <c r="M29" s="10"/>
      <c r="N29" s="10"/>
      <c r="O29" s="10"/>
    </row>
    <row r="30" spans="1:15" ht="218.25" customHeight="1" x14ac:dyDescent="0.3">
      <c r="A30" s="11" t="s">
        <v>743</v>
      </c>
      <c r="B30" s="77" t="s">
        <v>744</v>
      </c>
      <c r="C30" s="47"/>
      <c r="D30" s="43"/>
      <c r="E30" s="43"/>
      <c r="F30" s="43"/>
      <c r="G30" s="43"/>
      <c r="H30" s="43"/>
      <c r="I30" s="44"/>
      <c r="J30" s="45" t="s">
        <v>745</v>
      </c>
      <c r="K30" s="45"/>
      <c r="L30" s="10"/>
      <c r="M30" s="10"/>
      <c r="N30" s="10"/>
      <c r="O30" s="10"/>
    </row>
    <row r="31" spans="1:15" ht="29.25" customHeight="1" x14ac:dyDescent="0.3">
      <c r="A31" s="15" t="s">
        <v>495</v>
      </c>
      <c r="B31" s="33" t="s">
        <v>496</v>
      </c>
      <c r="C31" s="43" t="str">
        <f>F78&amp;"시간 (100%)"</f>
        <v>1시간 (100%)</v>
      </c>
      <c r="D31" s="43"/>
      <c r="E31" s="43"/>
      <c r="F31" s="43"/>
      <c r="G31" s="43"/>
      <c r="H31" s="43"/>
      <c r="I31" s="43"/>
      <c r="J31" s="40"/>
      <c r="K31" s="40"/>
      <c r="L31" s="10"/>
      <c r="M31" s="10"/>
      <c r="N31" s="10"/>
      <c r="O31" s="10"/>
    </row>
    <row r="32" spans="1:15" ht="22.5" customHeight="1" x14ac:dyDescent="0.3">
      <c r="A32" s="15" t="s">
        <v>499</v>
      </c>
      <c r="B32" s="33" t="s">
        <v>497</v>
      </c>
      <c r="C32" s="43">
        <f>COUNTA(G82:G90)</f>
        <v>1</v>
      </c>
      <c r="D32" s="43"/>
      <c r="E32" s="43"/>
      <c r="F32" s="43"/>
      <c r="G32" s="43"/>
      <c r="H32" s="43"/>
      <c r="I32" s="43"/>
      <c r="J32" s="56"/>
      <c r="K32" s="57"/>
    </row>
    <row r="33" spans="1:11" ht="22.5" customHeight="1" x14ac:dyDescent="0.3">
      <c r="A33" s="15" t="s">
        <v>500</v>
      </c>
      <c r="B33" s="33" t="s">
        <v>498</v>
      </c>
      <c r="C33" s="43">
        <f>COUNTA(G92:G100)</f>
        <v>0</v>
      </c>
      <c r="D33" s="43"/>
      <c r="E33" s="43"/>
      <c r="F33" s="43"/>
      <c r="G33" s="43"/>
      <c r="H33" s="43"/>
      <c r="I33" s="43"/>
      <c r="J33" s="56"/>
      <c r="K33" s="57"/>
    </row>
    <row r="34" spans="1:11" ht="22.5" customHeight="1" x14ac:dyDescent="0.3">
      <c r="A34" s="15" t="s">
        <v>504</v>
      </c>
      <c r="B34" s="33" t="s">
        <v>501</v>
      </c>
      <c r="C34" s="43">
        <f>COUNTA(G102:G110)</f>
        <v>0</v>
      </c>
      <c r="D34" s="43"/>
      <c r="E34" s="43"/>
      <c r="F34" s="43"/>
      <c r="G34" s="43"/>
      <c r="H34" s="43"/>
      <c r="I34" s="43"/>
      <c r="J34" s="56"/>
      <c r="K34" s="57"/>
    </row>
    <row r="35" spans="1:11" ht="22.5" customHeight="1" x14ac:dyDescent="0.3">
      <c r="A35" s="15" t="s">
        <v>505</v>
      </c>
      <c r="B35" s="33" t="s">
        <v>502</v>
      </c>
      <c r="C35" s="43">
        <f>COUNTA(G112:G120)</f>
        <v>0</v>
      </c>
      <c r="D35" s="43"/>
      <c r="E35" s="43"/>
      <c r="F35" s="43"/>
      <c r="G35" s="43"/>
      <c r="H35" s="43"/>
      <c r="I35" s="43"/>
      <c r="J35" s="56"/>
      <c r="K35" s="57"/>
    </row>
    <row r="36" spans="1:11" ht="22.5" customHeight="1" x14ac:dyDescent="0.3">
      <c r="A36" s="15" t="s">
        <v>506</v>
      </c>
      <c r="B36" s="33" t="s">
        <v>503</v>
      </c>
      <c r="C36" s="43">
        <f>COUNTA(G122:G130)</f>
        <v>0</v>
      </c>
      <c r="D36" s="43"/>
      <c r="E36" s="43"/>
      <c r="F36" s="43"/>
      <c r="G36" s="43"/>
      <c r="H36" s="43"/>
      <c r="I36" s="43"/>
      <c r="J36" s="56"/>
      <c r="K36" s="57"/>
    </row>
    <row r="37" spans="1:11" ht="69" customHeight="1" x14ac:dyDescent="0.3">
      <c r="A37" s="11" t="s">
        <v>507</v>
      </c>
      <c r="B37" s="33" t="s">
        <v>514</v>
      </c>
      <c r="C37" s="43" t="str">
        <f>K82</f>
        <v>의료·바이오 분야의 AI 적용 현황과 한계를 파악한 후, ChatGPT·Claude·Gemini 등 주요 생성형 AI 도구의 원리를 이해하고 직접 실습한다. 프롬프트 엔지니어링 기법을 익혀 AI를 고급 활용하는 방법을 배우고, GPTs·Gems를 활용하여 의료기기 업무에 특화된 나만의 챗봇을 제작하는 실습을 진행한다. 마지막으로 AI 활용 시 반드시 고려해야 할 윤리적 이슈와 보안 가이드라인을 학습하여 안전한 AI 활용 역량을 갖춘다.</v>
      </c>
      <c r="D37" s="43"/>
      <c r="E37" s="43"/>
      <c r="F37" s="43"/>
      <c r="G37" s="43"/>
      <c r="H37" s="43"/>
      <c r="I37" s="43"/>
      <c r="J37" s="56"/>
      <c r="K37" s="57"/>
    </row>
    <row r="38" spans="1:11" ht="69" customHeight="1" x14ac:dyDescent="0.3">
      <c r="A38" s="11" t="s">
        <v>508</v>
      </c>
      <c r="B38" s="33" t="s">
        <v>515</v>
      </c>
      <c r="C38" s="43">
        <f>K92</f>
        <v>0</v>
      </c>
      <c r="D38" s="43"/>
      <c r="E38" s="43"/>
      <c r="F38" s="43"/>
      <c r="G38" s="43"/>
      <c r="H38" s="43"/>
      <c r="I38" s="43"/>
      <c r="J38" s="56"/>
      <c r="K38" s="57"/>
    </row>
    <row r="39" spans="1:11" ht="69" customHeight="1" x14ac:dyDescent="0.3">
      <c r="A39" s="11" t="s">
        <v>509</v>
      </c>
      <c r="B39" s="33" t="s">
        <v>516</v>
      </c>
      <c r="C39" s="43">
        <f>K102</f>
        <v>0</v>
      </c>
      <c r="D39" s="43"/>
      <c r="E39" s="43"/>
      <c r="F39" s="43"/>
      <c r="G39" s="43"/>
      <c r="H39" s="43"/>
      <c r="I39" s="43"/>
      <c r="J39" s="56"/>
      <c r="K39" s="57"/>
    </row>
    <row r="40" spans="1:11" ht="69" customHeight="1" x14ac:dyDescent="0.3">
      <c r="A40" s="11" t="s">
        <v>510</v>
      </c>
      <c r="B40" s="33" t="s">
        <v>517</v>
      </c>
      <c r="C40" s="43">
        <f>K112</f>
        <v>0</v>
      </c>
      <c r="D40" s="43"/>
      <c r="E40" s="43"/>
      <c r="F40" s="43"/>
      <c r="G40" s="43"/>
      <c r="H40" s="43"/>
      <c r="I40" s="43"/>
      <c r="J40" s="56"/>
      <c r="K40" s="57"/>
    </row>
    <row r="41" spans="1:11" ht="69" customHeight="1" x14ac:dyDescent="0.3">
      <c r="A41" s="11" t="s">
        <v>511</v>
      </c>
      <c r="B41" s="33" t="s">
        <v>518</v>
      </c>
      <c r="C41" s="43">
        <f>K122</f>
        <v>0</v>
      </c>
      <c r="D41" s="43"/>
      <c r="E41" s="43"/>
      <c r="F41" s="43"/>
      <c r="G41" s="43"/>
      <c r="H41" s="43"/>
      <c r="I41" s="43"/>
      <c r="J41" s="56"/>
      <c r="K41" s="57"/>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f>VLOOKUP(J46,통합!$A$2:$I$43,6,FALSE)</f>
        <v>4</v>
      </c>
      <c r="E46" s="31" t="str">
        <f>VLOOKUP(J46,통합!$A$2:$I$43,8,FALSE)</f>
        <v>01</v>
      </c>
      <c r="F46" s="8">
        <f>IF(COUNTIF($D$81:$D$130,D46)=0,"",COUNTIF($D$81:$D$130,D46))</f>
        <v>1</v>
      </c>
      <c r="G46" s="13" t="s">
        <v>50</v>
      </c>
      <c r="H46" s="13" t="s">
        <v>51</v>
      </c>
      <c r="I46" s="8">
        <f>IF(COUNTIF($G$81:$G$130,G46)=0,"",COUNTIF($G$81:$G$130,G46))</f>
        <v>1</v>
      </c>
      <c r="J46" s="11" t="s">
        <v>211</v>
      </c>
    </row>
    <row r="47" spans="1:11" ht="22.5" customHeight="1" x14ac:dyDescent="0.3">
      <c r="C47" s="9">
        <f t="shared" ref="C47:C77" si="0">IFERROR(G47,"")</f>
        <v>0</v>
      </c>
      <c r="D47" s="31"/>
      <c r="E47" s="31"/>
      <c r="F47" s="8" t="str">
        <f t="shared" ref="F47:F77" si="1">IF(COUNTIF($D$81:$D$130,D47)=0,"",COUNTIF($D$81:$D$130,D47))</f>
        <v/>
      </c>
      <c r="G47" s="13"/>
      <c r="H47" s="13"/>
      <c r="I47" s="8" t="str">
        <f t="shared" ref="I47:I77" si="2">IF(COUNTIF($G$81:$G$130,G47)=0,"",COUNTIF($G$81:$G$130,G47))</f>
        <v/>
      </c>
    </row>
    <row r="48" spans="1:11" ht="22.5" customHeight="1" x14ac:dyDescent="0.3">
      <c r="C48" s="9">
        <f t="shared" si="0"/>
        <v>0</v>
      </c>
      <c r="D48" s="31"/>
      <c r="E48" s="31"/>
      <c r="F48" s="8" t="str">
        <f t="shared" si="1"/>
        <v/>
      </c>
      <c r="G48" s="14"/>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 t="shared" si="2"/>
        <v/>
      </c>
    </row>
    <row r="65" spans="3:9" ht="22.5" customHeight="1" x14ac:dyDescent="0.3">
      <c r="C65" s="9">
        <f t="shared" si="0"/>
        <v>0</v>
      </c>
      <c r="D65" s="31"/>
      <c r="E65" s="31"/>
      <c r="F65" s="8" t="str">
        <f t="shared" si="1"/>
        <v/>
      </c>
      <c r="G65" s="13"/>
      <c r="H65" s="13"/>
      <c r="I65" s="8" t="str">
        <f t="shared" si="2"/>
        <v/>
      </c>
    </row>
    <row r="66" spans="3:9" ht="22.5" customHeight="1" x14ac:dyDescent="0.3">
      <c r="C66" s="9">
        <f t="shared" si="0"/>
        <v>0</v>
      </c>
      <c r="D66" s="31"/>
      <c r="E66" s="31"/>
      <c r="F66" s="8" t="str">
        <f t="shared" si="1"/>
        <v/>
      </c>
      <c r="G66" s="13"/>
      <c r="H66" s="13"/>
      <c r="I66" s="8" t="str">
        <f>IF(COUNTIF($G$81:$G$130,#REF!)=0,"",COUNTIF($G$81:$G$130,#REF!))</f>
        <v/>
      </c>
    </row>
    <row r="67" spans="3:9" ht="22.5" customHeight="1" x14ac:dyDescent="0.3">
      <c r="C67" s="9">
        <f t="shared" si="0"/>
        <v>0</v>
      </c>
      <c r="D67" s="31"/>
      <c r="E67" s="31"/>
      <c r="F67" s="8" t="str">
        <f t="shared" si="1"/>
        <v/>
      </c>
      <c r="H67" s="13"/>
      <c r="I67" s="8" t="str">
        <f>IF(COUNTIF($G$81:$G$130,G66)=0,"",COUNTIF($G$81:$G$130,G66))</f>
        <v/>
      </c>
    </row>
    <row r="68" spans="3:9" ht="22.5" customHeight="1" x14ac:dyDescent="0.3">
      <c r="C68" s="9">
        <f t="shared" si="0"/>
        <v>0</v>
      </c>
      <c r="D68" s="31"/>
      <c r="E68" s="31"/>
      <c r="F68" s="8" t="str">
        <f t="shared" si="1"/>
        <v/>
      </c>
      <c r="G68" s="13"/>
      <c r="H68" s="13"/>
      <c r="I68" s="8" t="str">
        <f t="shared" si="2"/>
        <v/>
      </c>
    </row>
    <row r="69" spans="3:9" ht="22.5" customHeight="1" x14ac:dyDescent="0.3">
      <c r="C69" s="9">
        <f t="shared" si="0"/>
        <v>0</v>
      </c>
      <c r="D69" s="31"/>
      <c r="E69" s="31"/>
      <c r="F69" s="8" t="str">
        <f t="shared" si="1"/>
        <v/>
      </c>
      <c r="G69" s="13"/>
      <c r="H69" s="13"/>
      <c r="I69" s="8" t="str">
        <f t="shared" si="2"/>
        <v/>
      </c>
    </row>
    <row r="70" spans="3:9" ht="22.5" customHeight="1" x14ac:dyDescent="0.3">
      <c r="C70" s="9">
        <f t="shared" si="0"/>
        <v>0</v>
      </c>
      <c r="D70" s="31"/>
      <c r="E70" s="31"/>
      <c r="F70" s="8" t="str">
        <f t="shared" si="1"/>
        <v/>
      </c>
      <c r="G70" s="13"/>
      <c r="H70" s="13"/>
      <c r="I70" s="8" t="str">
        <f t="shared" si="2"/>
        <v/>
      </c>
    </row>
    <row r="71" spans="3:9" ht="22.5" customHeight="1" x14ac:dyDescent="0.3">
      <c r="C71" s="9">
        <f t="shared" si="0"/>
        <v>0</v>
      </c>
      <c r="D71" s="31"/>
      <c r="E71" s="31"/>
      <c r="F71" s="8" t="str">
        <f t="shared" si="1"/>
        <v/>
      </c>
      <c r="G71" s="13"/>
      <c r="H71" s="13"/>
      <c r="I71" s="8" t="str">
        <f t="shared" si="2"/>
        <v/>
      </c>
    </row>
    <row r="72" spans="3:9" ht="22.5" customHeight="1" x14ac:dyDescent="0.3">
      <c r="C72" s="9">
        <f t="shared" si="0"/>
        <v>0</v>
      </c>
      <c r="D72" s="31"/>
      <c r="E72" s="31"/>
      <c r="F72" s="8" t="str">
        <f t="shared" si="1"/>
        <v/>
      </c>
      <c r="G72" s="13"/>
      <c r="H72" s="13"/>
      <c r="I72" s="8" t="str">
        <f t="shared" si="2"/>
        <v/>
      </c>
    </row>
    <row r="73" spans="3:9" ht="22.5" customHeight="1" x14ac:dyDescent="0.3">
      <c r="C73" s="9">
        <f t="shared" si="0"/>
        <v>0</v>
      </c>
      <c r="D73" s="31"/>
      <c r="E73" s="31"/>
      <c r="F73" s="8" t="str">
        <f t="shared" si="1"/>
        <v/>
      </c>
      <c r="G73" s="13"/>
      <c r="H73" s="13"/>
      <c r="I73" s="8" t="str">
        <f t="shared" si="2"/>
        <v/>
      </c>
    </row>
    <row r="74" spans="3:9" ht="22.5" customHeight="1" x14ac:dyDescent="0.3">
      <c r="C74" s="9">
        <f t="shared" si="0"/>
        <v>0</v>
      </c>
      <c r="D74" s="31"/>
      <c r="E74" s="31"/>
      <c r="F74" s="8" t="str">
        <f t="shared" si="1"/>
        <v/>
      </c>
      <c r="G74" s="13"/>
      <c r="H74" s="13"/>
      <c r="I74" s="8" t="str">
        <f t="shared" si="2"/>
        <v/>
      </c>
    </row>
    <row r="75" spans="3:9" ht="22.5" customHeight="1" x14ac:dyDescent="0.3">
      <c r="C75" s="9">
        <f t="shared" si="0"/>
        <v>0</v>
      </c>
      <c r="D75" s="31"/>
      <c r="E75" s="31"/>
      <c r="F75" s="8" t="str">
        <f t="shared" si="1"/>
        <v/>
      </c>
      <c r="G75" s="13"/>
      <c r="H75" s="13"/>
      <c r="I75" s="8" t="str">
        <f t="shared" si="2"/>
        <v/>
      </c>
    </row>
    <row r="76" spans="3:9" ht="22.5" customHeight="1" x14ac:dyDescent="0.3">
      <c r="C76" s="9">
        <f t="shared" si="0"/>
        <v>0</v>
      </c>
      <c r="D76" s="31"/>
      <c r="E76" s="31"/>
      <c r="F76" s="8" t="str">
        <f t="shared" si="1"/>
        <v/>
      </c>
      <c r="G76" s="13"/>
      <c r="H76" s="13"/>
      <c r="I76" s="8" t="str">
        <f t="shared" si="2"/>
        <v/>
      </c>
    </row>
    <row r="77" spans="3:9" ht="22.5" customHeight="1" x14ac:dyDescent="0.3">
      <c r="C77" s="9">
        <f t="shared" si="0"/>
        <v>0</v>
      </c>
      <c r="D77" s="32"/>
      <c r="E77" s="32"/>
      <c r="F77" s="29" t="str">
        <f t="shared" si="1"/>
        <v/>
      </c>
      <c r="G77" s="28"/>
      <c r="H77" s="28"/>
      <c r="I77" s="29" t="str">
        <f t="shared" si="2"/>
        <v/>
      </c>
    </row>
    <row r="78" spans="3:9" ht="22.5" customHeight="1" x14ac:dyDescent="0.3">
      <c r="C78" s="8" t="s">
        <v>173</v>
      </c>
      <c r="D78" s="13"/>
      <c r="E78" s="13"/>
      <c r="F78" s="30">
        <f>SUM(F46:F77)</f>
        <v>1</v>
      </c>
      <c r="G78" s="13"/>
      <c r="H78" s="13"/>
      <c r="I78" s="30">
        <f>SUM(I46:I77)</f>
        <v>1</v>
      </c>
    </row>
    <row r="79" spans="3:9" ht="22.5" customHeight="1" x14ac:dyDescent="0.3">
      <c r="C79" s="8"/>
      <c r="D79" s="13"/>
      <c r="E79" s="13"/>
      <c r="F79" s="8"/>
      <c r="G79" s="13"/>
      <c r="H79" s="13"/>
      <c r="I79" s="8"/>
    </row>
    <row r="80" spans="3:9" ht="22.5" customHeight="1" x14ac:dyDescent="0.3"/>
    <row r="81" spans="2:11" ht="22.5" customHeight="1" x14ac:dyDescent="0.3">
      <c r="B81" s="58" t="s">
        <v>9</v>
      </c>
      <c r="C81" s="5" t="s">
        <v>8</v>
      </c>
      <c r="D81" s="5" t="s">
        <v>10</v>
      </c>
      <c r="E81" s="61" t="s">
        <v>13</v>
      </c>
      <c r="F81" s="62"/>
      <c r="G81" s="12" t="s">
        <v>11</v>
      </c>
      <c r="H81" s="61" t="s">
        <v>12</v>
      </c>
      <c r="I81" s="62"/>
      <c r="J81" s="12" t="s">
        <v>14</v>
      </c>
      <c r="K81" s="12" t="s">
        <v>31</v>
      </c>
    </row>
    <row r="82" spans="2:11" ht="22.5" customHeight="1" x14ac:dyDescent="0.3">
      <c r="B82" s="59"/>
      <c r="C82" s="1" t="s">
        <v>0</v>
      </c>
      <c r="D82" s="8">
        <f>IF(VLOOKUP(G82,$C$46:$E$77,2,FALSE)="","",VLOOKUP(G82,$C$46:$E$77,2,FALSE))</f>
        <v>4</v>
      </c>
      <c r="E82" s="63" t="str">
        <f>IF(VLOOKUP(G82,$C$46:$E$77,3,FALSE)="","",VLOOKUP(G82,$C$46:$E$77,3,FALSE))</f>
        <v>01</v>
      </c>
      <c r="F82" s="64"/>
      <c r="G82" s="13" t="s">
        <v>50</v>
      </c>
      <c r="H82" s="63" t="str">
        <f>IFERROR(VLOOKUP(G82,$G$46:$H$77,2,FALSE),"")</f>
        <v>하드웨어 분석하기</v>
      </c>
      <c r="I82" s="64"/>
      <c r="J82" s="15"/>
      <c r="K82" s="53" t="s">
        <v>548</v>
      </c>
    </row>
    <row r="83" spans="2:11" ht="22.5" customHeight="1" x14ac:dyDescent="0.3">
      <c r="B83" s="59"/>
      <c r="C83" s="1" t="s">
        <v>1</v>
      </c>
      <c r="D83" s="8" t="str">
        <f t="shared" ref="D83:D84" si="3">IF(VLOOKUP(G83,$C$46:$E$77,2,FALSE)="","",VLOOKUP(G83,$C$46:$E$77,2,FALSE))</f>
        <v/>
      </c>
      <c r="E83" s="63" t="str">
        <f t="shared" ref="E83:E84" si="4">IF(VLOOKUP(G83,$C$46:$E$77,3,FALSE)="","",VLOOKUP(G83,$C$46:$E$77,3,FALSE))</f>
        <v/>
      </c>
      <c r="F83" s="64"/>
      <c r="G83" s="13"/>
      <c r="H83" s="63" t="str">
        <f t="shared" ref="H83:H90" si="5">IFERROR(VLOOKUP(G83,$G$46:$H$77,2,FALSE),"")</f>
        <v/>
      </c>
      <c r="I83" s="64"/>
      <c r="J83" s="15"/>
      <c r="K83" s="65"/>
    </row>
    <row r="84" spans="2:11" ht="22.5" customHeight="1" x14ac:dyDescent="0.3">
      <c r="B84" s="59"/>
      <c r="C84" s="1" t="s">
        <v>2</v>
      </c>
      <c r="D84" s="8" t="str">
        <f t="shared" si="3"/>
        <v/>
      </c>
      <c r="E84" s="63" t="str">
        <f t="shared" si="4"/>
        <v/>
      </c>
      <c r="F84" s="64"/>
      <c r="G84" s="13"/>
      <c r="H84" s="63" t="str">
        <f t="shared" si="5"/>
        <v/>
      </c>
      <c r="I84" s="64"/>
      <c r="J84" s="15"/>
      <c r="K84" s="65"/>
    </row>
    <row r="85" spans="2:11" ht="22.5" customHeight="1" x14ac:dyDescent="0.3">
      <c r="B85" s="59"/>
      <c r="C85" s="2" t="s">
        <v>18</v>
      </c>
      <c r="D85" s="7"/>
      <c r="E85" s="67"/>
      <c r="F85" s="68"/>
      <c r="G85" s="17"/>
      <c r="H85" s="67"/>
      <c r="I85" s="68"/>
      <c r="J85" s="16"/>
      <c r="K85" s="65"/>
    </row>
    <row r="86" spans="2:11" ht="22.5" customHeight="1" x14ac:dyDescent="0.3">
      <c r="B86" s="59"/>
      <c r="C86" s="1" t="s">
        <v>3</v>
      </c>
      <c r="D86" s="8" t="str">
        <f>IF(VLOOKUP(G86,$C$46:$E$77,2,FALSE)="","",VLOOKUP(G86,$C$46:$E$77,2,FALSE))</f>
        <v/>
      </c>
      <c r="E86" s="63" t="str">
        <f>IF(VLOOKUP(G86,$C$46:$E$77,3,FALSE)="","",VLOOKUP(G86,$C$46:$E$77,3,FALSE))</f>
        <v/>
      </c>
      <c r="F86" s="64"/>
      <c r="G86" s="13"/>
      <c r="H86" s="63" t="str">
        <f t="shared" si="5"/>
        <v/>
      </c>
      <c r="I86" s="64"/>
      <c r="J86" s="15" t="s">
        <v>544</v>
      </c>
      <c r="K86" s="65"/>
    </row>
    <row r="87" spans="2:11" ht="22.5" customHeight="1" x14ac:dyDescent="0.3">
      <c r="B87" s="59"/>
      <c r="C87" s="1" t="s">
        <v>4</v>
      </c>
      <c r="D87" s="8" t="str">
        <f t="shared" ref="D87:D90" si="6">IF(VLOOKUP(G87,$C$46:$E$77,2,FALSE)="","",VLOOKUP(G87,$C$46:$E$77,2,FALSE))</f>
        <v/>
      </c>
      <c r="E87" s="63" t="str">
        <f t="shared" ref="E87:E90" si="7">IF(VLOOKUP(G87,$C$46:$E$77,3,FALSE)="","",VLOOKUP(G87,$C$46:$E$77,3,FALSE))</f>
        <v/>
      </c>
      <c r="F87" s="64"/>
      <c r="G87" s="13"/>
      <c r="H87" s="63" t="str">
        <f t="shared" si="5"/>
        <v/>
      </c>
      <c r="I87" s="64"/>
      <c r="J87" s="15" t="s">
        <v>545</v>
      </c>
      <c r="K87" s="65"/>
    </row>
    <row r="88" spans="2:11" ht="22.5" customHeight="1" x14ac:dyDescent="0.3">
      <c r="B88" s="59"/>
      <c r="C88" s="1" t="s">
        <v>5</v>
      </c>
      <c r="D88" s="8" t="str">
        <f t="shared" si="6"/>
        <v/>
      </c>
      <c r="E88" s="63" t="str">
        <f t="shared" si="7"/>
        <v/>
      </c>
      <c r="F88" s="64"/>
      <c r="G88" s="13"/>
      <c r="H88" s="63" t="str">
        <f t="shared" si="5"/>
        <v/>
      </c>
      <c r="I88" s="64"/>
      <c r="J88" s="15" t="s">
        <v>546</v>
      </c>
      <c r="K88" s="65"/>
    </row>
    <row r="89" spans="2:11" ht="22.5" customHeight="1" x14ac:dyDescent="0.3">
      <c r="B89" s="59"/>
      <c r="C89" s="1" t="s">
        <v>6</v>
      </c>
      <c r="D89" s="8" t="str">
        <f t="shared" si="6"/>
        <v/>
      </c>
      <c r="E89" s="63" t="str">
        <f t="shared" si="7"/>
        <v/>
      </c>
      <c r="F89" s="64"/>
      <c r="G89" s="13"/>
      <c r="H89" s="63" t="str">
        <f t="shared" si="5"/>
        <v/>
      </c>
      <c r="I89" s="64"/>
      <c r="J89" s="15" t="s">
        <v>547</v>
      </c>
      <c r="K89" s="65"/>
    </row>
    <row r="90" spans="2:11" ht="22.5" customHeight="1" x14ac:dyDescent="0.3">
      <c r="B90" s="60"/>
      <c r="C90" s="1" t="s">
        <v>7</v>
      </c>
      <c r="D90" s="8" t="str">
        <f t="shared" si="6"/>
        <v/>
      </c>
      <c r="E90" s="63" t="str">
        <f t="shared" si="7"/>
        <v/>
      </c>
      <c r="F90" s="64"/>
      <c r="G90" s="13"/>
      <c r="H90" s="63" t="str">
        <f t="shared" si="5"/>
        <v/>
      </c>
      <c r="I90" s="64"/>
      <c r="J90" s="15"/>
      <c r="K90" s="66"/>
    </row>
    <row r="91" spans="2:11" ht="22.5" customHeight="1" x14ac:dyDescent="0.3">
      <c r="B91" s="58" t="s">
        <v>16</v>
      </c>
      <c r="C91" s="5" t="s">
        <v>8</v>
      </c>
      <c r="D91" s="5" t="s">
        <v>10</v>
      </c>
      <c r="E91" s="61" t="s">
        <v>13</v>
      </c>
      <c r="F91" s="62"/>
      <c r="G91" s="12" t="s">
        <v>11</v>
      </c>
      <c r="H91" s="61" t="s">
        <v>12</v>
      </c>
      <c r="I91" s="62"/>
      <c r="J91" s="12" t="s">
        <v>14</v>
      </c>
      <c r="K91" s="12" t="s">
        <v>32</v>
      </c>
    </row>
    <row r="92" spans="2:11" ht="22.5" customHeight="1" x14ac:dyDescent="0.3">
      <c r="B92" s="59"/>
      <c r="C92" s="1" t="s">
        <v>0</v>
      </c>
      <c r="D92" s="8" t="str">
        <f>IF(VLOOKUP(G92,$C$46:$E$77,2,FALSE)="","",VLOOKUP(G92,$C$46:$E$77,2,FALSE))</f>
        <v/>
      </c>
      <c r="E92" s="63" t="str">
        <f>IF(VLOOKUP(G92,$C$46:$E$77,3,FALSE)="","",VLOOKUP(G92,$C$46:$E$77,3,FALSE))</f>
        <v/>
      </c>
      <c r="F92" s="64"/>
      <c r="G92" s="13"/>
      <c r="H92" s="63" t="str">
        <f>IFERROR(VLOOKUP(G92,$G$46:$H$77,2,FALSE),"")</f>
        <v/>
      </c>
      <c r="I92" s="64"/>
      <c r="J92" s="15"/>
      <c r="K92" s="54"/>
    </row>
    <row r="93" spans="2:11" ht="22.5" customHeight="1" x14ac:dyDescent="0.3">
      <c r="B93" s="59"/>
      <c r="C93" s="1" t="s">
        <v>1</v>
      </c>
      <c r="D93" s="8" t="str">
        <f t="shared" ref="D93:D94" si="8">IF(VLOOKUP(G93,$C$46:$E$77,2,FALSE)="","",VLOOKUP(G93,$C$46:$E$77,2,FALSE))</f>
        <v/>
      </c>
      <c r="E93" s="63" t="str">
        <f t="shared" ref="E93:E94" si="9">IF(VLOOKUP(G93,$C$46:$E$77,3,FALSE)="","",VLOOKUP(G93,$C$46:$E$77,3,FALSE))</f>
        <v/>
      </c>
      <c r="F93" s="64"/>
      <c r="G93" s="13"/>
      <c r="H93" s="63" t="str">
        <f t="shared" ref="H93:H100" si="10">IFERROR(VLOOKUP(G93,$G$46:$H$77,2,FALSE),"")</f>
        <v/>
      </c>
      <c r="I93" s="64"/>
      <c r="J93" s="15"/>
      <c r="K93" s="65"/>
    </row>
    <row r="94" spans="2:11" ht="22.5" customHeight="1" x14ac:dyDescent="0.3">
      <c r="B94" s="59"/>
      <c r="C94" s="1" t="s">
        <v>2</v>
      </c>
      <c r="D94" s="8" t="str">
        <f t="shared" si="8"/>
        <v/>
      </c>
      <c r="E94" s="63" t="str">
        <f t="shared" si="9"/>
        <v/>
      </c>
      <c r="F94" s="64"/>
      <c r="G94" s="13"/>
      <c r="H94" s="63" t="str">
        <f t="shared" si="10"/>
        <v/>
      </c>
      <c r="I94" s="64"/>
      <c r="J94" s="15"/>
      <c r="K94" s="65"/>
    </row>
    <row r="95" spans="2:11" ht="22.5" customHeight="1" x14ac:dyDescent="0.3">
      <c r="B95" s="59"/>
      <c r="C95" s="2" t="s">
        <v>18</v>
      </c>
      <c r="D95" s="7"/>
      <c r="E95" s="67"/>
      <c r="F95" s="68"/>
      <c r="G95" s="17"/>
      <c r="H95" s="67"/>
      <c r="I95" s="68"/>
      <c r="J95" s="16"/>
      <c r="K95" s="65"/>
    </row>
    <row r="96" spans="2:11" ht="22.5" customHeight="1" x14ac:dyDescent="0.3">
      <c r="B96" s="59"/>
      <c r="C96" s="1" t="s">
        <v>3</v>
      </c>
      <c r="D96" s="8" t="str">
        <f>IF(VLOOKUP(G96,$C$46:$E$77,2,FALSE)="","",VLOOKUP(G96,$C$46:$E$77,2,FALSE))</f>
        <v/>
      </c>
      <c r="E96" s="63" t="str">
        <f>IF(VLOOKUP(G96,$C$46:$E$77,3,FALSE)="","",VLOOKUP(G96,$C$46:$E$77,3,FALSE))</f>
        <v/>
      </c>
      <c r="F96" s="64"/>
      <c r="G96" s="13"/>
      <c r="H96" s="63" t="str">
        <f t="shared" si="10"/>
        <v/>
      </c>
      <c r="I96" s="64"/>
      <c r="J96" s="15"/>
      <c r="K96" s="65"/>
    </row>
    <row r="97" spans="2:11" ht="22.5" customHeight="1" x14ac:dyDescent="0.3">
      <c r="B97" s="59"/>
      <c r="C97" s="1" t="s">
        <v>4</v>
      </c>
      <c r="D97" s="8" t="str">
        <f t="shared" ref="D97:D100" si="11">IF(VLOOKUP(G97,$C$46:$E$77,2,FALSE)="","",VLOOKUP(G97,$C$46:$E$77,2,FALSE))</f>
        <v/>
      </c>
      <c r="E97" s="63" t="str">
        <f t="shared" ref="E97:E100" si="12">IF(VLOOKUP(G97,$C$46:$E$77,3,FALSE)="","",VLOOKUP(G97,$C$46:$E$77,3,FALSE))</f>
        <v/>
      </c>
      <c r="F97" s="64"/>
      <c r="G97" s="13"/>
      <c r="H97" s="63" t="str">
        <f t="shared" si="10"/>
        <v/>
      </c>
      <c r="I97" s="64"/>
      <c r="J97" s="15"/>
      <c r="K97" s="65"/>
    </row>
    <row r="98" spans="2:11" ht="22.5" customHeight="1" x14ac:dyDescent="0.3">
      <c r="B98" s="59"/>
      <c r="C98" s="1" t="s">
        <v>5</v>
      </c>
      <c r="D98" s="8" t="str">
        <f t="shared" si="11"/>
        <v/>
      </c>
      <c r="E98" s="63" t="str">
        <f t="shared" si="12"/>
        <v/>
      </c>
      <c r="F98" s="64"/>
      <c r="G98" s="13"/>
      <c r="H98" s="63" t="str">
        <f t="shared" si="10"/>
        <v/>
      </c>
      <c r="I98" s="64"/>
      <c r="J98" s="15"/>
      <c r="K98" s="65"/>
    </row>
    <row r="99" spans="2:11" ht="22.5" customHeight="1" x14ac:dyDescent="0.3">
      <c r="B99" s="59"/>
      <c r="C99" s="1" t="s">
        <v>6</v>
      </c>
      <c r="D99" s="8" t="str">
        <f t="shared" si="11"/>
        <v/>
      </c>
      <c r="E99" s="63" t="str">
        <f t="shared" si="12"/>
        <v/>
      </c>
      <c r="F99" s="64"/>
      <c r="G99" s="13"/>
      <c r="H99" s="63" t="str">
        <f t="shared" si="10"/>
        <v/>
      </c>
      <c r="I99" s="64"/>
      <c r="J99" s="15"/>
      <c r="K99" s="65"/>
    </row>
    <row r="100" spans="2:11" ht="22.5" customHeight="1" x14ac:dyDescent="0.3">
      <c r="B100" s="60"/>
      <c r="C100" s="1" t="s">
        <v>7</v>
      </c>
      <c r="D100" s="8" t="str">
        <f t="shared" si="11"/>
        <v/>
      </c>
      <c r="E100" s="63" t="str">
        <f t="shared" si="12"/>
        <v/>
      </c>
      <c r="F100" s="64"/>
      <c r="G100" s="13"/>
      <c r="H100" s="63" t="str">
        <f t="shared" si="10"/>
        <v/>
      </c>
      <c r="I100" s="64"/>
      <c r="J100" s="15"/>
      <c r="K100" s="66"/>
    </row>
    <row r="101" spans="2:11" ht="22.5" customHeight="1" x14ac:dyDescent="0.3">
      <c r="B101" s="58" t="s">
        <v>17</v>
      </c>
      <c r="C101" s="5" t="s">
        <v>8</v>
      </c>
      <c r="D101" s="5" t="s">
        <v>10</v>
      </c>
      <c r="E101" s="61" t="s">
        <v>13</v>
      </c>
      <c r="F101" s="62"/>
      <c r="G101" s="12" t="s">
        <v>11</v>
      </c>
      <c r="H101" s="61" t="s">
        <v>12</v>
      </c>
      <c r="I101" s="62"/>
      <c r="J101" s="12" t="s">
        <v>14</v>
      </c>
      <c r="K101" s="12" t="s">
        <v>33</v>
      </c>
    </row>
    <row r="102" spans="2:11" ht="22.5" customHeight="1" x14ac:dyDescent="0.3">
      <c r="B102" s="59"/>
      <c r="C102" s="1" t="s">
        <v>0</v>
      </c>
      <c r="D102" s="8" t="str">
        <f>IF(VLOOKUP(G102,$C$46:$E$77,2,FALSE)="","",VLOOKUP(G102,$C$46:$E$77,2,FALSE))</f>
        <v/>
      </c>
      <c r="E102" s="63" t="str">
        <f>IF(VLOOKUP(G102,$C$46:$E$77,3,FALSE)="","",VLOOKUP(G102,$C$46:$E$77,3,FALSE))</f>
        <v/>
      </c>
      <c r="F102" s="64"/>
      <c r="G102" s="13"/>
      <c r="H102" s="63" t="str">
        <f>IFERROR(VLOOKUP(G102,$G$46:$H$77,2,FALSE),"")</f>
        <v/>
      </c>
      <c r="I102" s="64"/>
      <c r="J102" s="15"/>
      <c r="K102" s="54"/>
    </row>
    <row r="103" spans="2:11" ht="22.5" customHeight="1" x14ac:dyDescent="0.3">
      <c r="B103" s="59"/>
      <c r="C103" s="1" t="s">
        <v>1</v>
      </c>
      <c r="D103" s="8" t="str">
        <f t="shared" ref="D103:D104" si="13">IF(VLOOKUP(G103,$C$46:$E$77,2,FALSE)="","",VLOOKUP(G103,$C$46:$E$77,2,FALSE))</f>
        <v/>
      </c>
      <c r="E103" s="63" t="str">
        <f t="shared" ref="E103:E104" si="14">IF(VLOOKUP(G103,$C$46:$E$77,3,FALSE)="","",VLOOKUP(G103,$C$46:$E$77,3,FALSE))</f>
        <v/>
      </c>
      <c r="F103" s="64"/>
      <c r="G103" s="13"/>
      <c r="H103" s="63" t="str">
        <f t="shared" ref="H103:H110" si="15">IFERROR(VLOOKUP(G103,$G$46:$H$77,2,FALSE),"")</f>
        <v/>
      </c>
      <c r="I103" s="64"/>
      <c r="J103" s="15"/>
      <c r="K103" s="65"/>
    </row>
    <row r="104" spans="2:11" ht="22.5" customHeight="1" x14ac:dyDescent="0.3">
      <c r="B104" s="59"/>
      <c r="C104" s="1" t="s">
        <v>2</v>
      </c>
      <c r="D104" s="8" t="str">
        <f t="shared" si="13"/>
        <v/>
      </c>
      <c r="E104" s="63" t="str">
        <f t="shared" si="14"/>
        <v/>
      </c>
      <c r="F104" s="64"/>
      <c r="G104" s="13"/>
      <c r="H104" s="63" t="str">
        <f t="shared" si="15"/>
        <v/>
      </c>
      <c r="I104" s="64"/>
      <c r="J104" s="15"/>
      <c r="K104" s="65"/>
    </row>
    <row r="105" spans="2:11" ht="22.5" customHeight="1" x14ac:dyDescent="0.3">
      <c r="B105" s="59"/>
      <c r="C105" s="2" t="s">
        <v>18</v>
      </c>
      <c r="D105" s="7"/>
      <c r="E105" s="67"/>
      <c r="F105" s="68"/>
      <c r="G105" s="17"/>
      <c r="H105" s="67"/>
      <c r="I105" s="68"/>
      <c r="J105" s="16"/>
      <c r="K105" s="65"/>
    </row>
    <row r="106" spans="2:11" ht="22.5" customHeight="1" x14ac:dyDescent="0.3">
      <c r="B106" s="59"/>
      <c r="C106" s="1" t="s">
        <v>3</v>
      </c>
      <c r="D106" s="8" t="str">
        <f>IF(VLOOKUP(G106,$C$46:$E$77,2,FALSE)="","",VLOOKUP(G106,$C$46:$E$77,2,FALSE))</f>
        <v/>
      </c>
      <c r="E106" s="63" t="str">
        <f>IF(VLOOKUP(G106,$C$46:$E$77,3,FALSE)="","",VLOOKUP(G106,$C$46:$E$77,3,FALSE))</f>
        <v/>
      </c>
      <c r="F106" s="64"/>
      <c r="G106" s="13"/>
      <c r="H106" s="63" t="str">
        <f t="shared" si="15"/>
        <v/>
      </c>
      <c r="I106" s="64"/>
      <c r="J106" s="15"/>
      <c r="K106" s="65"/>
    </row>
    <row r="107" spans="2:11" ht="22.5" customHeight="1" x14ac:dyDescent="0.3">
      <c r="B107" s="59"/>
      <c r="C107" s="1" t="s">
        <v>4</v>
      </c>
      <c r="D107" s="8" t="str">
        <f t="shared" ref="D107:D110" si="16">IF(VLOOKUP(G107,$C$46:$E$77,2,FALSE)="","",VLOOKUP(G107,$C$46:$E$77,2,FALSE))</f>
        <v/>
      </c>
      <c r="E107" s="63" t="str">
        <f t="shared" ref="E107:E110" si="17">IF(VLOOKUP(G107,$C$46:$E$77,3,FALSE)="","",VLOOKUP(G107,$C$46:$E$77,3,FALSE))</f>
        <v/>
      </c>
      <c r="F107" s="64"/>
      <c r="G107" s="13"/>
      <c r="H107" s="63" t="str">
        <f t="shared" si="15"/>
        <v/>
      </c>
      <c r="I107" s="64"/>
      <c r="J107" s="15"/>
      <c r="K107" s="65"/>
    </row>
    <row r="108" spans="2:11" ht="22.5" customHeight="1" x14ac:dyDescent="0.3">
      <c r="B108" s="59"/>
      <c r="C108" s="1" t="s">
        <v>5</v>
      </c>
      <c r="D108" s="8" t="str">
        <f t="shared" si="16"/>
        <v/>
      </c>
      <c r="E108" s="63" t="str">
        <f t="shared" si="17"/>
        <v/>
      </c>
      <c r="F108" s="64"/>
      <c r="G108" s="13"/>
      <c r="H108" s="63" t="str">
        <f t="shared" si="15"/>
        <v/>
      </c>
      <c r="I108" s="64"/>
      <c r="J108" s="15"/>
      <c r="K108" s="65"/>
    </row>
    <row r="109" spans="2:11" ht="22.5" customHeight="1" x14ac:dyDescent="0.3">
      <c r="B109" s="59"/>
      <c r="C109" s="1" t="s">
        <v>6</v>
      </c>
      <c r="D109" s="8" t="str">
        <f t="shared" si="16"/>
        <v/>
      </c>
      <c r="E109" s="63" t="str">
        <f t="shared" si="17"/>
        <v/>
      </c>
      <c r="F109" s="64"/>
      <c r="G109" s="13"/>
      <c r="H109" s="63" t="str">
        <f t="shared" si="15"/>
        <v/>
      </c>
      <c r="I109" s="64"/>
      <c r="J109" s="15"/>
      <c r="K109" s="65"/>
    </row>
    <row r="110" spans="2:11" ht="22.5" customHeight="1" x14ac:dyDescent="0.3">
      <c r="B110" s="60"/>
      <c r="C110" s="1" t="s">
        <v>7</v>
      </c>
      <c r="D110" s="8" t="str">
        <f t="shared" si="16"/>
        <v/>
      </c>
      <c r="E110" s="63" t="str">
        <f t="shared" si="17"/>
        <v/>
      </c>
      <c r="F110" s="64"/>
      <c r="G110" s="13"/>
      <c r="H110" s="63" t="str">
        <f t="shared" si="15"/>
        <v/>
      </c>
      <c r="I110" s="64"/>
      <c r="J110" s="15"/>
      <c r="K110" s="66"/>
    </row>
    <row r="111" spans="2:11" ht="22.5" customHeight="1" x14ac:dyDescent="0.3">
      <c r="B111" s="58" t="s">
        <v>19</v>
      </c>
      <c r="C111" s="5" t="s">
        <v>8</v>
      </c>
      <c r="D111" s="5" t="s">
        <v>10</v>
      </c>
      <c r="E111" s="61" t="s">
        <v>13</v>
      </c>
      <c r="F111" s="62"/>
      <c r="G111" s="12" t="s">
        <v>11</v>
      </c>
      <c r="H111" s="61" t="s">
        <v>12</v>
      </c>
      <c r="I111" s="62"/>
      <c r="J111" s="12" t="s">
        <v>14</v>
      </c>
      <c r="K111" s="12" t="s">
        <v>34</v>
      </c>
    </row>
    <row r="112" spans="2:11" ht="22.5" customHeight="1" x14ac:dyDescent="0.3">
      <c r="B112" s="59"/>
      <c r="C112" s="1" t="s">
        <v>0</v>
      </c>
      <c r="D112" s="8" t="str">
        <f>IF(VLOOKUP(G112,$C$46:$E$77,2,FALSE)="","",VLOOKUP(G112,$C$46:$E$77,2,FALSE))</f>
        <v/>
      </c>
      <c r="E112" s="63" t="str">
        <f>IF(VLOOKUP(G112,$C$46:$E$77,3,FALSE)="","",VLOOKUP(G112,$C$46:$E$77,3,FALSE))</f>
        <v/>
      </c>
      <c r="F112" s="64"/>
      <c r="G112" s="13"/>
      <c r="H112" s="63" t="str">
        <f>IFERROR(VLOOKUP(G112,$G$46:$H$77,2,FALSE),"")</f>
        <v/>
      </c>
      <c r="I112" s="64"/>
      <c r="J112" s="15"/>
      <c r="K112" s="54"/>
    </row>
    <row r="113" spans="2:11" ht="22.5" customHeight="1" x14ac:dyDescent="0.3">
      <c r="B113" s="59"/>
      <c r="C113" s="1" t="s">
        <v>1</v>
      </c>
      <c r="D113" s="8" t="str">
        <f t="shared" ref="D113:D114" si="18">IF(VLOOKUP(G113,$C$46:$E$77,2,FALSE)="","",VLOOKUP(G113,$C$46:$E$77,2,FALSE))</f>
        <v/>
      </c>
      <c r="E113" s="63" t="str">
        <f t="shared" ref="E113:E114" si="19">IF(VLOOKUP(G113,$C$46:$E$77,3,FALSE)="","",VLOOKUP(G113,$C$46:$E$77,3,FALSE))</f>
        <v/>
      </c>
      <c r="F113" s="64"/>
      <c r="G113" s="13"/>
      <c r="H113" s="63" t="str">
        <f t="shared" ref="H113:H120" si="20">IFERROR(VLOOKUP(G113,$G$46:$H$77,2,FALSE),"")</f>
        <v/>
      </c>
      <c r="I113" s="64"/>
      <c r="J113" s="15"/>
      <c r="K113" s="65"/>
    </row>
    <row r="114" spans="2:11" ht="22.5" customHeight="1" x14ac:dyDescent="0.3">
      <c r="B114" s="59"/>
      <c r="C114" s="1" t="s">
        <v>2</v>
      </c>
      <c r="D114" s="8" t="str">
        <f t="shared" si="18"/>
        <v/>
      </c>
      <c r="E114" s="63" t="str">
        <f t="shared" si="19"/>
        <v/>
      </c>
      <c r="F114" s="64"/>
      <c r="G114" s="13"/>
      <c r="H114" s="63" t="str">
        <f t="shared" si="20"/>
        <v/>
      </c>
      <c r="I114" s="64"/>
      <c r="J114" s="15"/>
      <c r="K114" s="65"/>
    </row>
    <row r="115" spans="2:11" ht="22.5" customHeight="1" x14ac:dyDescent="0.3">
      <c r="B115" s="59"/>
      <c r="C115" s="2" t="s">
        <v>18</v>
      </c>
      <c r="D115" s="7"/>
      <c r="E115" s="67"/>
      <c r="F115" s="68"/>
      <c r="G115" s="17"/>
      <c r="H115" s="67"/>
      <c r="I115" s="68"/>
      <c r="J115" s="16"/>
      <c r="K115" s="65"/>
    </row>
    <row r="116" spans="2:11" ht="22.5" customHeight="1" x14ac:dyDescent="0.3">
      <c r="B116" s="59"/>
      <c r="C116" s="1" t="s">
        <v>3</v>
      </c>
      <c r="D116" s="8" t="str">
        <f>IF(VLOOKUP(G116,$C$46:$E$77,2,FALSE)="","",VLOOKUP(G116,$C$46:$E$77,2,FALSE))</f>
        <v/>
      </c>
      <c r="E116" s="63" t="str">
        <f>IF(VLOOKUP(G116,$C$46:$E$77,3,FALSE)="","",VLOOKUP(G116,$C$46:$E$77,3,FALSE))</f>
        <v/>
      </c>
      <c r="F116" s="64"/>
      <c r="G116" s="13"/>
      <c r="H116" s="63" t="str">
        <f t="shared" si="20"/>
        <v/>
      </c>
      <c r="I116" s="64"/>
      <c r="J116" s="15"/>
      <c r="K116" s="65"/>
    </row>
    <row r="117" spans="2:11" ht="22.5" customHeight="1" x14ac:dyDescent="0.3">
      <c r="B117" s="59"/>
      <c r="C117" s="1" t="s">
        <v>4</v>
      </c>
      <c r="D117" s="8" t="str">
        <f t="shared" ref="D117:D120" si="21">IF(VLOOKUP(G117,$C$46:$E$77,2,FALSE)="","",VLOOKUP(G117,$C$46:$E$77,2,FALSE))</f>
        <v/>
      </c>
      <c r="E117" s="63" t="str">
        <f t="shared" ref="E117:E120" si="22">IF(VLOOKUP(G117,$C$46:$E$77,3,FALSE)="","",VLOOKUP(G117,$C$46:$E$77,3,FALSE))</f>
        <v/>
      </c>
      <c r="F117" s="64"/>
      <c r="G117" s="13"/>
      <c r="H117" s="63" t="str">
        <f t="shared" si="20"/>
        <v/>
      </c>
      <c r="I117" s="64"/>
      <c r="J117" s="15"/>
      <c r="K117" s="65"/>
    </row>
    <row r="118" spans="2:11" ht="22.5" customHeight="1" x14ac:dyDescent="0.3">
      <c r="B118" s="59"/>
      <c r="C118" s="1" t="s">
        <v>5</v>
      </c>
      <c r="D118" s="8" t="str">
        <f t="shared" si="21"/>
        <v/>
      </c>
      <c r="E118" s="63" t="str">
        <f t="shared" si="22"/>
        <v/>
      </c>
      <c r="F118" s="64"/>
      <c r="G118" s="13"/>
      <c r="H118" s="63" t="str">
        <f t="shared" si="20"/>
        <v/>
      </c>
      <c r="I118" s="64"/>
      <c r="J118" s="15"/>
      <c r="K118" s="65"/>
    </row>
    <row r="119" spans="2:11" ht="22.5" customHeight="1" x14ac:dyDescent="0.3">
      <c r="B119" s="59"/>
      <c r="C119" s="1" t="s">
        <v>6</v>
      </c>
      <c r="D119" s="8" t="str">
        <f t="shared" si="21"/>
        <v/>
      </c>
      <c r="E119" s="63" t="str">
        <f t="shared" si="22"/>
        <v/>
      </c>
      <c r="F119" s="64"/>
      <c r="G119" s="13"/>
      <c r="H119" s="63" t="str">
        <f t="shared" si="20"/>
        <v/>
      </c>
      <c r="I119" s="64"/>
      <c r="J119" s="15"/>
      <c r="K119" s="65"/>
    </row>
    <row r="120" spans="2:11" ht="22.5" customHeight="1" x14ac:dyDescent="0.3">
      <c r="B120" s="60"/>
      <c r="C120" s="1" t="s">
        <v>7</v>
      </c>
      <c r="D120" s="8" t="str">
        <f t="shared" si="21"/>
        <v/>
      </c>
      <c r="E120" s="63" t="str">
        <f t="shared" si="22"/>
        <v/>
      </c>
      <c r="F120" s="64"/>
      <c r="G120" s="13"/>
      <c r="H120" s="63" t="str">
        <f t="shared" si="20"/>
        <v/>
      </c>
      <c r="I120" s="64"/>
      <c r="J120" s="15"/>
      <c r="K120" s="66"/>
    </row>
    <row r="121" spans="2:11" ht="22.5" customHeight="1" x14ac:dyDescent="0.3">
      <c r="B121" s="58" t="s">
        <v>20</v>
      </c>
      <c r="C121" s="5" t="s">
        <v>8</v>
      </c>
      <c r="D121" s="5" t="s">
        <v>10</v>
      </c>
      <c r="E121" s="61" t="s">
        <v>13</v>
      </c>
      <c r="F121" s="62"/>
      <c r="G121" s="12" t="s">
        <v>11</v>
      </c>
      <c r="H121" s="61" t="s">
        <v>12</v>
      </c>
      <c r="I121" s="62"/>
      <c r="J121" s="12" t="s">
        <v>14</v>
      </c>
      <c r="K121" s="12" t="s">
        <v>35</v>
      </c>
    </row>
    <row r="122" spans="2:11" ht="22.5" customHeight="1" x14ac:dyDescent="0.3">
      <c r="B122" s="59"/>
      <c r="C122" s="1" t="s">
        <v>0</v>
      </c>
      <c r="D122" s="8" t="str">
        <f>IF(VLOOKUP(G122,$C$46:$E$77,2,FALSE)="","",VLOOKUP(G122,$C$46:$E$77,2,FALSE))</f>
        <v/>
      </c>
      <c r="E122" s="63" t="str">
        <f>IF(VLOOKUP(G122,$C$46:$E$77,3,FALSE)="","",VLOOKUP(G122,$C$46:$E$77,3,FALSE))</f>
        <v/>
      </c>
      <c r="F122" s="64"/>
      <c r="G122" s="13"/>
      <c r="H122" s="63" t="str">
        <f>IFERROR(VLOOKUP(G122,$G$46:$H$77,2,FALSE),"")</f>
        <v/>
      </c>
      <c r="I122" s="64"/>
      <c r="J122" s="15"/>
      <c r="K122" s="54"/>
    </row>
    <row r="123" spans="2:11" ht="22.5" customHeight="1" x14ac:dyDescent="0.3">
      <c r="B123" s="59"/>
      <c r="C123" s="1" t="s">
        <v>1</v>
      </c>
      <c r="D123" s="8" t="str">
        <f t="shared" ref="D123:D124" si="23">IF(VLOOKUP(G123,$C$46:$E$77,2,FALSE)="","",VLOOKUP(G123,$C$46:$E$77,2,FALSE))</f>
        <v/>
      </c>
      <c r="E123" s="63" t="str">
        <f t="shared" ref="E123:E124" si="24">IF(VLOOKUP(G123,$C$46:$E$77,3,FALSE)="","",VLOOKUP(G123,$C$46:$E$77,3,FALSE))</f>
        <v/>
      </c>
      <c r="F123" s="64"/>
      <c r="G123" s="13"/>
      <c r="H123" s="63" t="str">
        <f t="shared" ref="H123:H130" si="25">IFERROR(VLOOKUP(G123,$G$46:$H$77,2,FALSE),"")</f>
        <v/>
      </c>
      <c r="I123" s="64"/>
      <c r="J123" s="15"/>
      <c r="K123" s="65"/>
    </row>
    <row r="124" spans="2:11" ht="22.5" customHeight="1" x14ac:dyDescent="0.3">
      <c r="B124" s="59"/>
      <c r="C124" s="1" t="s">
        <v>2</v>
      </c>
      <c r="D124" s="8" t="str">
        <f t="shared" si="23"/>
        <v/>
      </c>
      <c r="E124" s="63" t="str">
        <f t="shared" si="24"/>
        <v/>
      </c>
      <c r="F124" s="64"/>
      <c r="G124" s="13"/>
      <c r="H124" s="63" t="str">
        <f t="shared" si="25"/>
        <v/>
      </c>
      <c r="I124" s="64"/>
      <c r="J124" s="15"/>
      <c r="K124" s="65"/>
    </row>
    <row r="125" spans="2:11" ht="22.5" customHeight="1" x14ac:dyDescent="0.3">
      <c r="B125" s="59"/>
      <c r="C125" s="2" t="s">
        <v>18</v>
      </c>
      <c r="D125" s="7"/>
      <c r="E125" s="67"/>
      <c r="F125" s="68"/>
      <c r="G125" s="17"/>
      <c r="H125" s="67"/>
      <c r="I125" s="68"/>
      <c r="J125" s="16"/>
      <c r="K125" s="65"/>
    </row>
    <row r="126" spans="2:11" ht="22.5" customHeight="1" x14ac:dyDescent="0.3">
      <c r="B126" s="59"/>
      <c r="C126" s="1" t="s">
        <v>3</v>
      </c>
      <c r="D126" s="8" t="str">
        <f>IF(VLOOKUP(G126,$C$46:$E$77,2,FALSE)="","",VLOOKUP(G126,$C$46:$E$77,2,FALSE))</f>
        <v/>
      </c>
      <c r="E126" s="63" t="str">
        <f>IF(VLOOKUP(G126,$C$46:$E$77,3,FALSE)="","",VLOOKUP(G126,$C$46:$E$77,3,FALSE))</f>
        <v/>
      </c>
      <c r="F126" s="64"/>
      <c r="G126" s="13"/>
      <c r="H126" s="63" t="str">
        <f t="shared" si="25"/>
        <v/>
      </c>
      <c r="I126" s="64"/>
      <c r="J126" s="15"/>
      <c r="K126" s="65"/>
    </row>
    <row r="127" spans="2:11" ht="22.5" customHeight="1" x14ac:dyDescent="0.3">
      <c r="B127" s="59"/>
      <c r="C127" s="1" t="s">
        <v>4</v>
      </c>
      <c r="D127" s="8" t="str">
        <f t="shared" ref="D127:D130" si="26">IF(VLOOKUP(G127,$C$46:$E$77,2,FALSE)="","",VLOOKUP(G127,$C$46:$E$77,2,FALSE))</f>
        <v/>
      </c>
      <c r="E127" s="63" t="str">
        <f t="shared" ref="E127:E130" si="27">IF(VLOOKUP(G127,$C$46:$E$77,3,FALSE)="","",VLOOKUP(G127,$C$46:$E$77,3,FALSE))</f>
        <v/>
      </c>
      <c r="F127" s="64"/>
      <c r="G127" s="13"/>
      <c r="H127" s="63" t="str">
        <f t="shared" si="25"/>
        <v/>
      </c>
      <c r="I127" s="64"/>
      <c r="J127" s="15"/>
      <c r="K127" s="65"/>
    </row>
    <row r="128" spans="2:11" ht="22.5" customHeight="1" x14ac:dyDescent="0.3">
      <c r="B128" s="59"/>
      <c r="C128" s="1" t="s">
        <v>5</v>
      </c>
      <c r="D128" s="8" t="str">
        <f t="shared" si="26"/>
        <v/>
      </c>
      <c r="E128" s="63" t="str">
        <f t="shared" si="27"/>
        <v/>
      </c>
      <c r="F128" s="64"/>
      <c r="G128" s="13"/>
      <c r="H128" s="63" t="str">
        <f t="shared" si="25"/>
        <v/>
      </c>
      <c r="I128" s="64"/>
      <c r="J128" s="15"/>
      <c r="K128" s="65"/>
    </row>
    <row r="129" spans="2:11" ht="22.5" customHeight="1" x14ac:dyDescent="0.3">
      <c r="B129" s="59"/>
      <c r="C129" s="1" t="s">
        <v>6</v>
      </c>
      <c r="D129" s="8" t="str">
        <f t="shared" si="26"/>
        <v/>
      </c>
      <c r="E129" s="63" t="str">
        <f t="shared" si="27"/>
        <v/>
      </c>
      <c r="F129" s="64"/>
      <c r="G129" s="13"/>
      <c r="H129" s="63" t="str">
        <f t="shared" si="25"/>
        <v/>
      </c>
      <c r="I129" s="64"/>
      <c r="J129" s="15"/>
      <c r="K129" s="65"/>
    </row>
    <row r="130" spans="2:11" ht="22.5" customHeight="1" x14ac:dyDescent="0.3">
      <c r="B130" s="60"/>
      <c r="C130" s="1" t="s">
        <v>7</v>
      </c>
      <c r="D130" s="8" t="str">
        <f t="shared" si="26"/>
        <v/>
      </c>
      <c r="E130" s="63" t="str">
        <f t="shared" si="27"/>
        <v/>
      </c>
      <c r="F130" s="64"/>
      <c r="G130" s="13"/>
      <c r="H130" s="63" t="str">
        <f t="shared" si="25"/>
        <v/>
      </c>
      <c r="I130" s="64"/>
      <c r="J130" s="15"/>
      <c r="K130" s="66"/>
    </row>
    <row r="131" spans="2:11" ht="22.5" customHeight="1" x14ac:dyDescent="0.3">
      <c r="K131" s="11">
        <f>COUNTA(K82,K92,K102,K112,K122)</f>
        <v>1</v>
      </c>
    </row>
    <row r="132" spans="2:11" ht="22.5" customHeight="1" x14ac:dyDescent="0.3"/>
    <row r="133" spans="2:11" ht="22.5" customHeight="1" x14ac:dyDescent="0.3"/>
    <row r="134" spans="2:11" ht="22.5" customHeight="1" x14ac:dyDescent="0.3"/>
    <row r="135" spans="2:11" ht="22.5" customHeight="1" x14ac:dyDescent="0.3"/>
    <row r="136" spans="2:11" ht="22.5" customHeight="1" x14ac:dyDescent="0.3"/>
    <row r="137" spans="2:11" ht="22.5" customHeight="1" x14ac:dyDescent="0.3"/>
    <row r="138" spans="2:11" ht="22.5" customHeight="1" x14ac:dyDescent="0.3"/>
    <row r="139" spans="2:11" ht="22.5" customHeight="1" x14ac:dyDescent="0.3"/>
    <row r="140" spans="2:11" ht="22.5" customHeight="1" x14ac:dyDescent="0.3"/>
    <row r="141" spans="2:11" ht="22.5" customHeight="1" x14ac:dyDescent="0.3"/>
    <row r="142" spans="2:11"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3A7AD24-411E-4836-BEAE-DA0CCC867320}">
          <x14:formula1>
            <xm:f>통합!$A$2:$A$52</xm:f>
          </x14:formula1>
          <xm:sqref>C2:I2</xm:sqref>
        </x14:dataValidation>
        <x14:dataValidation type="list" allowBlank="1" showInputMessage="1" showErrorMessage="1" xr:uid="{AF7EAFB4-09F1-412B-8B60-EA527AB6AD63}">
          <x14:formula1>
            <xm:f>통합!$A$2:$A$43</xm:f>
          </x14:formula1>
          <xm:sqref>J46:J77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75954-C05E-4E77-AF65-0BCF2846FDA0}">
  <dimension ref="A1:O142"/>
  <sheetViews>
    <sheetView topLeftCell="A28" zoomScaleNormal="100" workbookViewId="0">
      <selection activeCell="C29" sqref="C29:I2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6" t="s">
        <v>231</v>
      </c>
      <c r="B1" s="46"/>
      <c r="C1" s="46"/>
      <c r="D1" s="46"/>
      <c r="E1" s="46"/>
      <c r="F1" s="46"/>
      <c r="G1" s="46"/>
      <c r="H1" s="46"/>
      <c r="I1" s="46"/>
      <c r="J1" s="46"/>
      <c r="K1" s="46"/>
    </row>
    <row r="2" spans="1:15" ht="21.75" customHeight="1" x14ac:dyDescent="0.3">
      <c r="B2" s="4" t="s">
        <v>205</v>
      </c>
      <c r="C2" s="43" t="s">
        <v>346</v>
      </c>
      <c r="D2" s="43"/>
      <c r="E2" s="43"/>
      <c r="F2" s="43"/>
      <c r="G2" s="43"/>
      <c r="H2" s="43"/>
      <c r="I2" s="44"/>
      <c r="J2" s="45"/>
      <c r="K2" s="45"/>
      <c r="L2" s="10"/>
      <c r="M2" s="10"/>
      <c r="N2" s="10"/>
      <c r="O2" s="10"/>
    </row>
    <row r="3" spans="1:15" ht="21.75" customHeight="1" x14ac:dyDescent="0.3">
      <c r="A3" s="11" t="s">
        <v>169</v>
      </c>
      <c r="B3" s="4" t="s">
        <v>23</v>
      </c>
      <c r="C3" s="43" t="s">
        <v>524</v>
      </c>
      <c r="D3" s="43"/>
      <c r="E3" s="43"/>
      <c r="F3" s="43"/>
      <c r="G3" s="43"/>
      <c r="H3" s="43"/>
      <c r="I3" s="44"/>
      <c r="J3" s="45" t="s">
        <v>226</v>
      </c>
      <c r="K3" s="45"/>
      <c r="L3" s="10"/>
      <c r="M3" s="10"/>
      <c r="N3" s="10"/>
      <c r="O3" s="10"/>
    </row>
    <row r="4" spans="1:15" ht="156.75" customHeight="1" x14ac:dyDescent="0.3">
      <c r="B4" s="4" t="s">
        <v>230</v>
      </c>
      <c r="C4" s="47" t="s">
        <v>526</v>
      </c>
      <c r="D4" s="43"/>
      <c r="E4" s="43"/>
      <c r="F4" s="43"/>
      <c r="G4" s="43"/>
      <c r="H4" s="43"/>
      <c r="I4" s="44"/>
      <c r="J4" s="45"/>
      <c r="K4" s="45"/>
      <c r="L4" s="10"/>
      <c r="M4" s="10"/>
      <c r="N4" s="10"/>
      <c r="O4" s="10"/>
    </row>
    <row r="5" spans="1:15" ht="21.75" customHeight="1" x14ac:dyDescent="0.3">
      <c r="A5" s="11" t="s">
        <v>188</v>
      </c>
      <c r="B5" s="4" t="s">
        <v>184</v>
      </c>
      <c r="C5" s="43" t="str">
        <f>VLOOKUP($C$2,통합!A2:J52,2,FALSE)</f>
        <v>20.정보통신</v>
      </c>
      <c r="D5" s="43"/>
      <c r="E5" s="43"/>
      <c r="F5" s="43"/>
      <c r="G5" s="43"/>
      <c r="H5" s="43"/>
      <c r="I5" s="44"/>
      <c r="J5" s="45"/>
      <c r="K5" s="45"/>
      <c r="L5" s="10"/>
      <c r="M5" s="10"/>
      <c r="N5" s="10"/>
      <c r="O5" s="10"/>
    </row>
    <row r="6" spans="1:15" ht="21.75" customHeight="1" x14ac:dyDescent="0.3">
      <c r="A6" s="11" t="s">
        <v>189</v>
      </c>
      <c r="B6" s="4" t="s">
        <v>185</v>
      </c>
      <c r="C6" s="43" t="str">
        <f>VLOOKUP($C$2,통합!A2:J52,3,FALSE)</f>
        <v>01.정보기술</v>
      </c>
      <c r="D6" s="43"/>
      <c r="E6" s="43"/>
      <c r="F6" s="43"/>
      <c r="G6" s="43"/>
      <c r="H6" s="43"/>
      <c r="I6" s="44"/>
      <c r="J6" s="45"/>
      <c r="K6" s="45"/>
      <c r="L6" s="10"/>
      <c r="M6" s="10"/>
      <c r="N6" s="10"/>
      <c r="O6" s="10"/>
    </row>
    <row r="7" spans="1:15" ht="21.75" customHeight="1" x14ac:dyDescent="0.3">
      <c r="A7" s="11" t="s">
        <v>190</v>
      </c>
      <c r="B7" s="4" t="s">
        <v>186</v>
      </c>
      <c r="C7" s="43" t="str">
        <f>VLOOKUP($C$2,통합!A2:J52,4,FALSE)</f>
        <v xml:space="preserve">07.인공지능 </v>
      </c>
      <c r="D7" s="43"/>
      <c r="E7" s="43"/>
      <c r="F7" s="43"/>
      <c r="G7" s="43"/>
      <c r="H7" s="43"/>
      <c r="I7" s="44"/>
      <c r="J7" s="45"/>
      <c r="K7" s="45"/>
      <c r="L7" s="10"/>
      <c r="M7" s="10"/>
      <c r="N7" s="10"/>
      <c r="O7" s="10"/>
    </row>
    <row r="8" spans="1:15" ht="21.75" customHeight="1" x14ac:dyDescent="0.3">
      <c r="A8" s="11" t="s">
        <v>191</v>
      </c>
      <c r="B8" s="4" t="s">
        <v>187</v>
      </c>
      <c r="C8" s="43" t="str">
        <f>VLOOKUP($C$2,통합!A2:J52,8,FALSE)&amp;"."&amp;VLOOKUP($C$2,통합!A2:J52,9,FALSE)</f>
        <v>05.프롬프트 구현</v>
      </c>
      <c r="D8" s="43"/>
      <c r="E8" s="43"/>
      <c r="F8" s="43"/>
      <c r="G8" s="43"/>
      <c r="H8" s="43"/>
      <c r="I8" s="44"/>
      <c r="J8" s="45"/>
      <c r="K8" s="45"/>
      <c r="L8" s="10"/>
      <c r="M8" s="10"/>
      <c r="N8" s="10"/>
      <c r="O8" s="10"/>
    </row>
    <row r="9" spans="1:15" ht="21.75" customHeight="1" x14ac:dyDescent="0.3">
      <c r="A9" s="11" t="s">
        <v>210</v>
      </c>
      <c r="B9" s="4" t="s">
        <v>176</v>
      </c>
      <c r="C9" s="43" t="str">
        <f>VLOOKUP($C$2,통합!A2:J52,7,FALSE)</f>
        <v>2001070705_25v1</v>
      </c>
      <c r="D9" s="43"/>
      <c r="E9" s="43"/>
      <c r="F9" s="43"/>
      <c r="G9" s="43"/>
      <c r="H9" s="43"/>
      <c r="I9" s="44"/>
      <c r="J9" s="45"/>
      <c r="K9" s="45"/>
      <c r="L9" s="10"/>
      <c r="M9" s="10"/>
      <c r="N9" s="10"/>
      <c r="O9" s="10"/>
    </row>
    <row r="10" spans="1:15" ht="21.75" customHeight="1" x14ac:dyDescent="0.3">
      <c r="A10" s="11" t="s">
        <v>208</v>
      </c>
      <c r="B10" s="4" t="s">
        <v>24</v>
      </c>
      <c r="C10" s="43">
        <f>VLOOKUP($C$2,통합!A2:J52,6,FALSE)</f>
        <v>5</v>
      </c>
      <c r="D10" s="43"/>
      <c r="E10" s="43"/>
      <c r="F10" s="43"/>
      <c r="G10" s="43"/>
      <c r="H10" s="43"/>
      <c r="I10" s="44"/>
      <c r="J10" s="45"/>
      <c r="K10" s="45"/>
      <c r="L10" s="10"/>
      <c r="M10" s="10"/>
      <c r="N10" s="10"/>
      <c r="O10" s="10"/>
    </row>
    <row r="11" spans="1:15" ht="21.75" customHeight="1" x14ac:dyDescent="0.3">
      <c r="A11" s="11" t="s">
        <v>174</v>
      </c>
      <c r="B11" s="4" t="s">
        <v>15</v>
      </c>
      <c r="C11" s="48" t="str">
        <f>F78&amp;"시간( "&amp;K131&amp;"일)"</f>
        <v>1시간( 1일)</v>
      </c>
      <c r="D11" s="48"/>
      <c r="E11" s="48"/>
      <c r="F11" s="48"/>
      <c r="G11" s="48"/>
      <c r="H11" s="48"/>
      <c r="I11" s="49"/>
      <c r="J11" s="18" t="s">
        <v>175</v>
      </c>
      <c r="K11" s="18"/>
      <c r="L11" s="10"/>
      <c r="M11" s="10"/>
      <c r="N11" s="10"/>
      <c r="O11" s="10"/>
    </row>
    <row r="12" spans="1:15" ht="28.5" customHeight="1" x14ac:dyDescent="0.3">
      <c r="A12" s="50" t="s">
        <v>232</v>
      </c>
      <c r="B12" s="50"/>
      <c r="C12" s="50"/>
      <c r="D12" s="50"/>
      <c r="E12" s="50"/>
      <c r="F12" s="50"/>
      <c r="G12" s="50"/>
      <c r="H12" s="50"/>
      <c r="I12" s="50"/>
      <c r="J12" s="50"/>
      <c r="K12" s="51"/>
      <c r="L12" s="10"/>
      <c r="M12" s="10"/>
      <c r="N12" s="10"/>
      <c r="O12" s="10"/>
    </row>
    <row r="13" spans="1:15" ht="21.75" customHeight="1" x14ac:dyDescent="0.3">
      <c r="A13" s="11" t="s">
        <v>172</v>
      </c>
      <c r="B13" s="4" t="s">
        <v>21</v>
      </c>
      <c r="C13" s="43" t="s">
        <v>549</v>
      </c>
      <c r="D13" s="43"/>
      <c r="E13" s="43"/>
      <c r="F13" s="43"/>
      <c r="G13" s="43"/>
      <c r="H13" s="43"/>
      <c r="I13" s="44"/>
      <c r="J13" s="45" t="s">
        <v>37</v>
      </c>
      <c r="K13" s="45"/>
      <c r="L13" s="10"/>
      <c r="M13" s="10"/>
      <c r="N13" s="10"/>
      <c r="O13" s="10"/>
    </row>
    <row r="14" spans="1:15" ht="21.75" customHeight="1" x14ac:dyDescent="0.3">
      <c r="A14" s="11" t="s">
        <v>222</v>
      </c>
      <c r="B14" s="4" t="s">
        <v>223</v>
      </c>
      <c r="C14" s="43" t="s">
        <v>649</v>
      </c>
      <c r="D14" s="43"/>
      <c r="E14" s="43"/>
      <c r="F14" s="43"/>
      <c r="G14" s="43"/>
      <c r="H14" s="43"/>
      <c r="I14" s="44"/>
      <c r="J14" s="45" t="s">
        <v>224</v>
      </c>
      <c r="K14" s="45"/>
      <c r="L14" s="10"/>
      <c r="M14" s="10"/>
      <c r="N14" s="10"/>
      <c r="O14" s="10"/>
    </row>
    <row r="15" spans="1:15" ht="21.75" customHeight="1" x14ac:dyDescent="0.3">
      <c r="A15" s="11" t="s">
        <v>182</v>
      </c>
      <c r="B15" s="4" t="s">
        <v>178</v>
      </c>
      <c r="C15" s="43" t="s">
        <v>535</v>
      </c>
      <c r="D15" s="43"/>
      <c r="E15" s="43"/>
      <c r="F15" s="43"/>
      <c r="G15" s="43"/>
      <c r="H15" s="43"/>
      <c r="I15" s="44"/>
      <c r="J15" s="45" t="s">
        <v>177</v>
      </c>
      <c r="K15" s="45"/>
      <c r="L15" s="10"/>
      <c r="M15" s="10"/>
      <c r="N15" s="10"/>
      <c r="O15" s="10"/>
    </row>
    <row r="16" spans="1:15" ht="21.75" customHeight="1" x14ac:dyDescent="0.3">
      <c r="A16" s="11" t="s">
        <v>181</v>
      </c>
      <c r="B16" s="4" t="s">
        <v>179</v>
      </c>
      <c r="C16" s="43" t="s">
        <v>550</v>
      </c>
      <c r="D16" s="43"/>
      <c r="E16" s="43"/>
      <c r="F16" s="43"/>
      <c r="G16" s="43"/>
      <c r="H16" s="43"/>
      <c r="I16" s="44"/>
      <c r="J16" s="45" t="s">
        <v>180</v>
      </c>
      <c r="K16" s="45"/>
      <c r="L16" s="10"/>
      <c r="M16" s="10"/>
      <c r="N16" s="10"/>
      <c r="O16" s="10"/>
    </row>
    <row r="17" spans="1:15" ht="48.75" customHeight="1" x14ac:dyDescent="0.3">
      <c r="A17" s="11" t="s">
        <v>171</v>
      </c>
      <c r="B17" s="4" t="s">
        <v>206</v>
      </c>
      <c r="C17" s="43" t="s">
        <v>551</v>
      </c>
      <c r="D17" s="43"/>
      <c r="E17" s="43"/>
      <c r="F17" s="43"/>
      <c r="G17" s="43"/>
      <c r="H17" s="43"/>
      <c r="I17" s="44"/>
      <c r="J17" s="45" t="s">
        <v>170</v>
      </c>
      <c r="K17" s="45"/>
      <c r="L17" s="10"/>
      <c r="M17" s="10"/>
      <c r="N17" s="10"/>
      <c r="O17" s="10"/>
    </row>
    <row r="18" spans="1:15" ht="48.75" customHeight="1" x14ac:dyDescent="0.3">
      <c r="A18" s="11" t="s">
        <v>183</v>
      </c>
      <c r="B18" s="4" t="s">
        <v>207</v>
      </c>
      <c r="C18" s="43" t="s">
        <v>552</v>
      </c>
      <c r="D18" s="43"/>
      <c r="E18" s="43"/>
      <c r="F18" s="43"/>
      <c r="G18" s="43"/>
      <c r="H18" s="43"/>
      <c r="I18" s="44"/>
      <c r="J18" s="45" t="s">
        <v>170</v>
      </c>
      <c r="K18" s="45"/>
      <c r="L18" s="10"/>
      <c r="M18" s="10"/>
      <c r="N18" s="10"/>
      <c r="O18" s="10"/>
    </row>
    <row r="19" spans="1:15" ht="44.25" customHeight="1" x14ac:dyDescent="0.3">
      <c r="A19" s="11" t="s">
        <v>209</v>
      </c>
      <c r="B19" s="4" t="s">
        <v>22</v>
      </c>
      <c r="C19" s="47" t="s">
        <v>553</v>
      </c>
      <c r="D19" s="43"/>
      <c r="E19" s="43"/>
      <c r="F19" s="43"/>
      <c r="G19" s="43"/>
      <c r="H19" s="43"/>
      <c r="I19" s="44"/>
      <c r="J19" s="45" t="s">
        <v>39</v>
      </c>
      <c r="K19" s="45"/>
      <c r="L19" s="10"/>
      <c r="M19" s="10"/>
      <c r="N19" s="10"/>
      <c r="O19" s="10"/>
    </row>
    <row r="20" spans="1:15" ht="28.5" customHeight="1" x14ac:dyDescent="0.3">
      <c r="A20" s="11" t="s">
        <v>212</v>
      </c>
      <c r="B20" s="4" t="s">
        <v>25</v>
      </c>
      <c r="C20" s="43" t="s">
        <v>554</v>
      </c>
      <c r="D20" s="43"/>
      <c r="E20" s="43"/>
      <c r="F20" s="43"/>
      <c r="G20" s="43"/>
      <c r="H20" s="43"/>
      <c r="I20" s="44"/>
      <c r="J20" s="45" t="s">
        <v>40</v>
      </c>
      <c r="K20" s="45"/>
      <c r="L20" s="10"/>
      <c r="M20" s="10"/>
      <c r="N20" s="10"/>
      <c r="O20" s="10"/>
    </row>
    <row r="21" spans="1:15" ht="78" customHeight="1" x14ac:dyDescent="0.3">
      <c r="A21" s="11" t="s">
        <v>213</v>
      </c>
      <c r="B21" s="4" t="s">
        <v>27</v>
      </c>
      <c r="C21" s="47" t="s">
        <v>555</v>
      </c>
      <c r="D21" s="43"/>
      <c r="E21" s="43"/>
      <c r="F21" s="43"/>
      <c r="G21" s="43"/>
      <c r="H21" s="43"/>
      <c r="I21" s="44"/>
      <c r="J21" s="45" t="s">
        <v>41</v>
      </c>
      <c r="K21" s="45"/>
      <c r="L21" s="10"/>
      <c r="M21" s="10"/>
      <c r="N21" s="10"/>
      <c r="O21" s="10"/>
    </row>
    <row r="22" spans="1:15" ht="62.25" customHeight="1" x14ac:dyDescent="0.3">
      <c r="A22" s="11" t="s">
        <v>214</v>
      </c>
      <c r="B22" s="52" t="s">
        <v>28</v>
      </c>
      <c r="C22" s="47" t="s">
        <v>639</v>
      </c>
      <c r="D22" s="43"/>
      <c r="E22" s="43"/>
      <c r="F22" s="43"/>
      <c r="G22" s="43"/>
      <c r="H22" s="43"/>
      <c r="I22" s="44"/>
      <c r="J22" s="45" t="s">
        <v>217</v>
      </c>
      <c r="K22" s="45"/>
      <c r="L22" s="10"/>
      <c r="M22" s="10"/>
      <c r="N22" s="10"/>
      <c r="O22" s="10"/>
    </row>
    <row r="23" spans="1:15" ht="62.25" customHeight="1" x14ac:dyDescent="0.3">
      <c r="A23" s="11" t="s">
        <v>215</v>
      </c>
      <c r="B23" s="52"/>
      <c r="C23" s="47" t="s">
        <v>640</v>
      </c>
      <c r="D23" s="43"/>
      <c r="E23" s="43"/>
      <c r="F23" s="43"/>
      <c r="G23" s="43"/>
      <c r="H23" s="43"/>
      <c r="I23" s="44"/>
      <c r="J23" s="45" t="s">
        <v>218</v>
      </c>
      <c r="K23" s="45"/>
      <c r="L23" s="10"/>
      <c r="M23" s="10"/>
      <c r="N23" s="10"/>
      <c r="O23" s="10"/>
    </row>
    <row r="24" spans="1:15" ht="62.25" customHeight="1" x14ac:dyDescent="0.3">
      <c r="A24" s="11" t="s">
        <v>216</v>
      </c>
      <c r="B24" s="52"/>
      <c r="C24" s="47" t="s">
        <v>641</v>
      </c>
      <c r="D24" s="43"/>
      <c r="E24" s="43"/>
      <c r="F24" s="43"/>
      <c r="G24" s="43"/>
      <c r="H24" s="43"/>
      <c r="I24" s="44"/>
      <c r="J24" s="45" t="s">
        <v>219</v>
      </c>
      <c r="K24" s="45"/>
      <c r="L24" s="10"/>
      <c r="M24" s="10"/>
      <c r="N24" s="10"/>
      <c r="O24" s="10"/>
    </row>
    <row r="25" spans="1:15" ht="83.25" customHeight="1" x14ac:dyDescent="0.3">
      <c r="A25" s="11" t="s">
        <v>220</v>
      </c>
      <c r="B25" s="6" t="s">
        <v>29</v>
      </c>
      <c r="C25" s="47" t="s">
        <v>556</v>
      </c>
      <c r="D25" s="43"/>
      <c r="E25" s="43"/>
      <c r="F25" s="43"/>
      <c r="G25" s="43"/>
      <c r="H25" s="43"/>
      <c r="I25" s="44"/>
      <c r="J25" s="45" t="s">
        <v>45</v>
      </c>
      <c r="K25" s="45"/>
      <c r="L25" s="10"/>
      <c r="M25" s="10"/>
      <c r="N25" s="10"/>
      <c r="O25" s="10"/>
    </row>
    <row r="26" spans="1:15" ht="47.25" customHeight="1" x14ac:dyDescent="0.3">
      <c r="A26" s="11" t="s">
        <v>225</v>
      </c>
      <c r="B26" s="6" t="s">
        <v>46</v>
      </c>
      <c r="C26" s="47" t="s">
        <v>557</v>
      </c>
      <c r="D26" s="43"/>
      <c r="E26" s="43"/>
      <c r="F26" s="43"/>
      <c r="G26" s="43"/>
      <c r="H26" s="43"/>
      <c r="I26" s="44"/>
      <c r="J26" s="45" t="s">
        <v>519</v>
      </c>
      <c r="K26" s="45"/>
      <c r="L26" s="10"/>
      <c r="M26" s="10"/>
      <c r="N26" s="10"/>
      <c r="O26" s="10"/>
    </row>
    <row r="27" spans="1:15" ht="29.25" customHeight="1" x14ac:dyDescent="0.3">
      <c r="A27" s="11" t="s">
        <v>221</v>
      </c>
      <c r="B27" s="4" t="s">
        <v>26</v>
      </c>
      <c r="C27" s="43" t="s">
        <v>48</v>
      </c>
      <c r="D27" s="43"/>
      <c r="E27" s="43"/>
      <c r="F27" s="43"/>
      <c r="G27" s="43"/>
      <c r="H27" s="43"/>
      <c r="I27" s="44"/>
      <c r="J27" s="45" t="s">
        <v>48</v>
      </c>
      <c r="K27" s="45"/>
      <c r="L27" s="10"/>
      <c r="M27" s="10"/>
      <c r="N27" s="10"/>
      <c r="O27" s="10"/>
    </row>
    <row r="28" spans="1:15" ht="218.25" customHeight="1" x14ac:dyDescent="0.3">
      <c r="A28" s="11" t="s">
        <v>739</v>
      </c>
      <c r="B28" s="41" t="s">
        <v>227</v>
      </c>
      <c r="C28" s="53" t="s">
        <v>558</v>
      </c>
      <c r="D28" s="54"/>
      <c r="E28" s="54"/>
      <c r="F28" s="54"/>
      <c r="G28" s="54"/>
      <c r="H28" s="54"/>
      <c r="I28" s="55"/>
      <c r="J28" s="45" t="s">
        <v>228</v>
      </c>
      <c r="K28" s="45"/>
      <c r="L28" s="10"/>
      <c r="M28" s="10"/>
      <c r="N28" s="10"/>
      <c r="O28" s="10"/>
    </row>
    <row r="29" spans="1:15" ht="218.25" customHeight="1" x14ac:dyDescent="0.3">
      <c r="A29" s="11" t="s">
        <v>740</v>
      </c>
      <c r="B29" s="77" t="s">
        <v>741</v>
      </c>
      <c r="C29" s="47"/>
      <c r="D29" s="43"/>
      <c r="E29" s="43"/>
      <c r="F29" s="43"/>
      <c r="G29" s="43"/>
      <c r="H29" s="43"/>
      <c r="I29" s="44"/>
      <c r="J29" s="45" t="s">
        <v>742</v>
      </c>
      <c r="K29" s="45"/>
      <c r="L29" s="10"/>
      <c r="M29" s="10"/>
      <c r="N29" s="10"/>
      <c r="O29" s="10"/>
    </row>
    <row r="30" spans="1:15" ht="218.25" customHeight="1" x14ac:dyDescent="0.3">
      <c r="A30" s="11" t="s">
        <v>743</v>
      </c>
      <c r="B30" s="77" t="s">
        <v>744</v>
      </c>
      <c r="C30" s="47"/>
      <c r="D30" s="43"/>
      <c r="E30" s="43"/>
      <c r="F30" s="43"/>
      <c r="G30" s="43"/>
      <c r="H30" s="43"/>
      <c r="I30" s="44"/>
      <c r="J30" s="45" t="s">
        <v>745</v>
      </c>
      <c r="K30" s="45"/>
      <c r="L30" s="10"/>
      <c r="M30" s="10"/>
      <c r="N30" s="10"/>
      <c r="O30" s="10"/>
    </row>
    <row r="31" spans="1:15" ht="29.25" customHeight="1" x14ac:dyDescent="0.3">
      <c r="A31" s="15" t="s">
        <v>495</v>
      </c>
      <c r="B31" s="33" t="s">
        <v>496</v>
      </c>
      <c r="C31" s="43" t="str">
        <f>F78&amp;"시간 (100%)"</f>
        <v>1시간 (100%)</v>
      </c>
      <c r="D31" s="43"/>
      <c r="E31" s="43"/>
      <c r="F31" s="43"/>
      <c r="G31" s="43"/>
      <c r="H31" s="43"/>
      <c r="I31" s="43"/>
      <c r="J31" s="40"/>
      <c r="K31" s="40"/>
      <c r="L31" s="10"/>
      <c r="M31" s="10"/>
      <c r="N31" s="10"/>
      <c r="O31" s="10"/>
    </row>
    <row r="32" spans="1:15" ht="22.5" customHeight="1" x14ac:dyDescent="0.3">
      <c r="A32" s="15" t="s">
        <v>499</v>
      </c>
      <c r="B32" s="33" t="s">
        <v>497</v>
      </c>
      <c r="C32" s="43">
        <f>COUNTA(G82:G90)</f>
        <v>1</v>
      </c>
      <c r="D32" s="43"/>
      <c r="E32" s="43"/>
      <c r="F32" s="43"/>
      <c r="G32" s="43"/>
      <c r="H32" s="43"/>
      <c r="I32" s="43"/>
      <c r="J32" s="56"/>
      <c r="K32" s="57"/>
    </row>
    <row r="33" spans="1:11" ht="22.5" customHeight="1" x14ac:dyDescent="0.3">
      <c r="A33" s="15" t="s">
        <v>500</v>
      </c>
      <c r="B33" s="33" t="s">
        <v>498</v>
      </c>
      <c r="C33" s="43">
        <f>COUNTA(G92:G100)</f>
        <v>0</v>
      </c>
      <c r="D33" s="43"/>
      <c r="E33" s="43"/>
      <c r="F33" s="43"/>
      <c r="G33" s="43"/>
      <c r="H33" s="43"/>
      <c r="I33" s="43"/>
      <c r="J33" s="56"/>
      <c r="K33" s="57"/>
    </row>
    <row r="34" spans="1:11" ht="22.5" customHeight="1" x14ac:dyDescent="0.3">
      <c r="A34" s="15" t="s">
        <v>504</v>
      </c>
      <c r="B34" s="33" t="s">
        <v>501</v>
      </c>
      <c r="C34" s="43">
        <f>COUNTA(G102:G110)</f>
        <v>0</v>
      </c>
      <c r="D34" s="43"/>
      <c r="E34" s="43"/>
      <c r="F34" s="43"/>
      <c r="G34" s="43"/>
      <c r="H34" s="43"/>
      <c r="I34" s="43"/>
      <c r="J34" s="56"/>
      <c r="K34" s="57"/>
    </row>
    <row r="35" spans="1:11" ht="22.5" customHeight="1" x14ac:dyDescent="0.3">
      <c r="A35" s="15" t="s">
        <v>505</v>
      </c>
      <c r="B35" s="33" t="s">
        <v>502</v>
      </c>
      <c r="C35" s="43">
        <f>COUNTA(G112:G120)</f>
        <v>0</v>
      </c>
      <c r="D35" s="43"/>
      <c r="E35" s="43"/>
      <c r="F35" s="43"/>
      <c r="G35" s="43"/>
      <c r="H35" s="43"/>
      <c r="I35" s="43"/>
      <c r="J35" s="56"/>
      <c r="K35" s="57"/>
    </row>
    <row r="36" spans="1:11" ht="22.5" customHeight="1" x14ac:dyDescent="0.3">
      <c r="A36" s="15" t="s">
        <v>506</v>
      </c>
      <c r="B36" s="33" t="s">
        <v>503</v>
      </c>
      <c r="C36" s="43">
        <f>COUNTA(G122:G130)</f>
        <v>0</v>
      </c>
      <c r="D36" s="43"/>
      <c r="E36" s="43"/>
      <c r="F36" s="43"/>
      <c r="G36" s="43"/>
      <c r="H36" s="43"/>
      <c r="I36" s="43"/>
      <c r="J36" s="56"/>
      <c r="K36" s="57"/>
    </row>
    <row r="37" spans="1:11" ht="69" customHeight="1" x14ac:dyDescent="0.3">
      <c r="A37" s="11" t="s">
        <v>507</v>
      </c>
      <c r="B37" s="33" t="s">
        <v>514</v>
      </c>
      <c r="C37" s="43" t="str">
        <f>K82</f>
        <v>의료·바이오 분야 데이터리터러시의 개념과 의료기기 데이터의 특성을 이해한 후, ChatGPT·Claude·Gemini를 활용하여 의료기기 관련 데이터를 직접 수집하는 실습을 진행한다. Excel과 Excel for Claude를 활용하여 비정형 의료기기 데이터를 정형화하는 전처리 기법을 실습하고, ChatGPT와 Tableau를 활용한 데이터시각화 기초를 배운다. 최종적으로 의료기기 분야 데이터를 활용한 분석 리포트를 직접 제작하고 발표하여 데이터 기반 의사결정 역량을 함양한다.</v>
      </c>
      <c r="D37" s="43"/>
      <c r="E37" s="43"/>
      <c r="F37" s="43"/>
      <c r="G37" s="43"/>
      <c r="H37" s="43"/>
      <c r="I37" s="43"/>
      <c r="J37" s="56"/>
      <c r="K37" s="57"/>
    </row>
    <row r="38" spans="1:11" ht="69" customHeight="1" x14ac:dyDescent="0.3">
      <c r="A38" s="11" t="s">
        <v>508</v>
      </c>
      <c r="B38" s="33" t="s">
        <v>515</v>
      </c>
      <c r="C38" s="43">
        <f>K92</f>
        <v>0</v>
      </c>
      <c r="D38" s="43"/>
      <c r="E38" s="43"/>
      <c r="F38" s="43"/>
      <c r="G38" s="43"/>
      <c r="H38" s="43"/>
      <c r="I38" s="43"/>
      <c r="J38" s="56"/>
      <c r="K38" s="57"/>
    </row>
    <row r="39" spans="1:11" ht="69" customHeight="1" x14ac:dyDescent="0.3">
      <c r="A39" s="11" t="s">
        <v>509</v>
      </c>
      <c r="B39" s="33" t="s">
        <v>516</v>
      </c>
      <c r="C39" s="43">
        <f>K102</f>
        <v>0</v>
      </c>
      <c r="D39" s="43"/>
      <c r="E39" s="43"/>
      <c r="F39" s="43"/>
      <c r="G39" s="43"/>
      <c r="H39" s="43"/>
      <c r="I39" s="43"/>
      <c r="J39" s="56"/>
      <c r="K39" s="57"/>
    </row>
    <row r="40" spans="1:11" ht="69" customHeight="1" x14ac:dyDescent="0.3">
      <c r="A40" s="11" t="s">
        <v>510</v>
      </c>
      <c r="B40" s="33" t="s">
        <v>517</v>
      </c>
      <c r="C40" s="43">
        <f>K112</f>
        <v>0</v>
      </c>
      <c r="D40" s="43"/>
      <c r="E40" s="43"/>
      <c r="F40" s="43"/>
      <c r="G40" s="43"/>
      <c r="H40" s="43"/>
      <c r="I40" s="43"/>
      <c r="J40" s="56"/>
      <c r="K40" s="57"/>
    </row>
    <row r="41" spans="1:11" ht="69" customHeight="1" x14ac:dyDescent="0.3">
      <c r="A41" s="11" t="s">
        <v>511</v>
      </c>
      <c r="B41" s="33" t="s">
        <v>518</v>
      </c>
      <c r="C41" s="43">
        <f>K122</f>
        <v>0</v>
      </c>
      <c r="D41" s="43"/>
      <c r="E41" s="43"/>
      <c r="F41" s="43"/>
      <c r="G41" s="43"/>
      <c r="H41" s="43"/>
      <c r="I41" s="43"/>
      <c r="J41" s="56"/>
      <c r="K41" s="57"/>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f>VLOOKUP(J46,통합!$A$2:$I$43,6,FALSE)</f>
        <v>4</v>
      </c>
      <c r="E46" s="31" t="str">
        <f>VLOOKUP(J46,통합!$A$2:$I$43,8,FALSE)</f>
        <v>01</v>
      </c>
      <c r="F46" s="8">
        <f>IF(COUNTIF($D$81:$D$130,D46)=0,"",COUNTIF($D$81:$D$130,D46))</f>
        <v>1</v>
      </c>
      <c r="G46" s="13" t="s">
        <v>50</v>
      </c>
      <c r="H46" s="13" t="s">
        <v>51</v>
      </c>
      <c r="I46" s="8">
        <f>IF(COUNTIF($G$81:$G$130,G46)=0,"",COUNTIF($G$81:$G$130,G46))</f>
        <v>1</v>
      </c>
      <c r="J46" s="11" t="s">
        <v>211</v>
      </c>
    </row>
    <row r="47" spans="1:11" ht="22.5" customHeight="1" x14ac:dyDescent="0.3">
      <c r="C47" s="9">
        <f t="shared" ref="C47:C77" si="0">IFERROR(G47,"")</f>
        <v>0</v>
      </c>
      <c r="D47" s="31"/>
      <c r="E47" s="31"/>
      <c r="F47" s="8" t="str">
        <f t="shared" ref="F47:F77" si="1">IF(COUNTIF($D$81:$D$130,D47)=0,"",COUNTIF($D$81:$D$130,D47))</f>
        <v/>
      </c>
      <c r="G47" s="13"/>
      <c r="H47" s="13"/>
      <c r="I47" s="8" t="str">
        <f t="shared" ref="I47:I77" si="2">IF(COUNTIF($G$81:$G$130,G47)=0,"",COUNTIF($G$81:$G$130,G47))</f>
        <v/>
      </c>
    </row>
    <row r="48" spans="1:11" ht="22.5" customHeight="1" x14ac:dyDescent="0.3">
      <c r="C48" s="9">
        <f t="shared" si="0"/>
        <v>0</v>
      </c>
      <c r="D48" s="31"/>
      <c r="E48" s="31"/>
      <c r="F48" s="8" t="str">
        <f t="shared" si="1"/>
        <v/>
      </c>
      <c r="G48" s="14"/>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 t="shared" si="2"/>
        <v/>
      </c>
    </row>
    <row r="65" spans="3:9" ht="22.5" customHeight="1" x14ac:dyDescent="0.3">
      <c r="C65" s="9">
        <f t="shared" si="0"/>
        <v>0</v>
      </c>
      <c r="D65" s="31"/>
      <c r="E65" s="31"/>
      <c r="F65" s="8" t="str">
        <f t="shared" si="1"/>
        <v/>
      </c>
      <c r="G65" s="13"/>
      <c r="H65" s="13"/>
      <c r="I65" s="8" t="str">
        <f t="shared" si="2"/>
        <v/>
      </c>
    </row>
    <row r="66" spans="3:9" ht="22.5" customHeight="1" x14ac:dyDescent="0.3">
      <c r="C66" s="9">
        <f t="shared" si="0"/>
        <v>0</v>
      </c>
      <c r="D66" s="31"/>
      <c r="E66" s="31"/>
      <c r="F66" s="8" t="str">
        <f t="shared" si="1"/>
        <v/>
      </c>
      <c r="G66" s="13"/>
      <c r="H66" s="13"/>
      <c r="I66" s="8" t="str">
        <f>IF(COUNTIF($G$81:$G$130,#REF!)=0,"",COUNTIF($G$81:$G$130,#REF!))</f>
        <v/>
      </c>
    </row>
    <row r="67" spans="3:9" ht="22.5" customHeight="1" x14ac:dyDescent="0.3">
      <c r="C67" s="9">
        <f t="shared" si="0"/>
        <v>0</v>
      </c>
      <c r="D67" s="31"/>
      <c r="E67" s="31"/>
      <c r="F67" s="8" t="str">
        <f t="shared" si="1"/>
        <v/>
      </c>
      <c r="H67" s="13"/>
      <c r="I67" s="8" t="str">
        <f>IF(COUNTIF($G$81:$G$130,G66)=0,"",COUNTIF($G$81:$G$130,G66))</f>
        <v/>
      </c>
    </row>
    <row r="68" spans="3:9" ht="22.5" customHeight="1" x14ac:dyDescent="0.3">
      <c r="C68" s="9">
        <f t="shared" si="0"/>
        <v>0</v>
      </c>
      <c r="D68" s="31"/>
      <c r="E68" s="31"/>
      <c r="F68" s="8" t="str">
        <f t="shared" si="1"/>
        <v/>
      </c>
      <c r="G68" s="13"/>
      <c r="H68" s="13"/>
      <c r="I68" s="8" t="str">
        <f t="shared" si="2"/>
        <v/>
      </c>
    </row>
    <row r="69" spans="3:9" ht="22.5" customHeight="1" x14ac:dyDescent="0.3">
      <c r="C69" s="9">
        <f t="shared" si="0"/>
        <v>0</v>
      </c>
      <c r="D69" s="31"/>
      <c r="E69" s="31"/>
      <c r="F69" s="8" t="str">
        <f t="shared" si="1"/>
        <v/>
      </c>
      <c r="G69" s="13"/>
      <c r="H69" s="13"/>
      <c r="I69" s="8" t="str">
        <f t="shared" si="2"/>
        <v/>
      </c>
    </row>
    <row r="70" spans="3:9" ht="22.5" customHeight="1" x14ac:dyDescent="0.3">
      <c r="C70" s="9">
        <f t="shared" si="0"/>
        <v>0</v>
      </c>
      <c r="D70" s="31"/>
      <c r="E70" s="31"/>
      <c r="F70" s="8" t="str">
        <f t="shared" si="1"/>
        <v/>
      </c>
      <c r="G70" s="13"/>
      <c r="H70" s="13"/>
      <c r="I70" s="8" t="str">
        <f t="shared" si="2"/>
        <v/>
      </c>
    </row>
    <row r="71" spans="3:9" ht="22.5" customHeight="1" x14ac:dyDescent="0.3">
      <c r="C71" s="9">
        <f t="shared" si="0"/>
        <v>0</v>
      </c>
      <c r="D71" s="31"/>
      <c r="E71" s="31"/>
      <c r="F71" s="8" t="str">
        <f t="shared" si="1"/>
        <v/>
      </c>
      <c r="G71" s="13"/>
      <c r="H71" s="13"/>
      <c r="I71" s="8" t="str">
        <f t="shared" si="2"/>
        <v/>
      </c>
    </row>
    <row r="72" spans="3:9" ht="22.5" customHeight="1" x14ac:dyDescent="0.3">
      <c r="C72" s="9">
        <f t="shared" si="0"/>
        <v>0</v>
      </c>
      <c r="D72" s="31"/>
      <c r="E72" s="31"/>
      <c r="F72" s="8" t="str">
        <f t="shared" si="1"/>
        <v/>
      </c>
      <c r="G72" s="13"/>
      <c r="H72" s="13"/>
      <c r="I72" s="8" t="str">
        <f t="shared" si="2"/>
        <v/>
      </c>
    </row>
    <row r="73" spans="3:9" ht="22.5" customHeight="1" x14ac:dyDescent="0.3">
      <c r="C73" s="9">
        <f t="shared" si="0"/>
        <v>0</v>
      </c>
      <c r="D73" s="31"/>
      <c r="E73" s="31"/>
      <c r="F73" s="8" t="str">
        <f t="shared" si="1"/>
        <v/>
      </c>
      <c r="G73" s="13"/>
      <c r="H73" s="13"/>
      <c r="I73" s="8" t="str">
        <f t="shared" si="2"/>
        <v/>
      </c>
    </row>
    <row r="74" spans="3:9" ht="22.5" customHeight="1" x14ac:dyDescent="0.3">
      <c r="C74" s="9">
        <f t="shared" si="0"/>
        <v>0</v>
      </c>
      <c r="D74" s="31"/>
      <c r="E74" s="31"/>
      <c r="F74" s="8" t="str">
        <f t="shared" si="1"/>
        <v/>
      </c>
      <c r="G74" s="13"/>
      <c r="H74" s="13"/>
      <c r="I74" s="8" t="str">
        <f t="shared" si="2"/>
        <v/>
      </c>
    </row>
    <row r="75" spans="3:9" ht="22.5" customHeight="1" x14ac:dyDescent="0.3">
      <c r="C75" s="9">
        <f t="shared" si="0"/>
        <v>0</v>
      </c>
      <c r="D75" s="31"/>
      <c r="E75" s="31"/>
      <c r="F75" s="8" t="str">
        <f t="shared" si="1"/>
        <v/>
      </c>
      <c r="G75" s="13"/>
      <c r="H75" s="13"/>
      <c r="I75" s="8" t="str">
        <f t="shared" si="2"/>
        <v/>
      </c>
    </row>
    <row r="76" spans="3:9" ht="22.5" customHeight="1" x14ac:dyDescent="0.3">
      <c r="C76" s="9">
        <f t="shared" si="0"/>
        <v>0</v>
      </c>
      <c r="D76" s="31"/>
      <c r="E76" s="31"/>
      <c r="F76" s="8" t="str">
        <f t="shared" si="1"/>
        <v/>
      </c>
      <c r="G76" s="13"/>
      <c r="H76" s="13"/>
      <c r="I76" s="8" t="str">
        <f t="shared" si="2"/>
        <v/>
      </c>
    </row>
    <row r="77" spans="3:9" ht="22.5" customHeight="1" x14ac:dyDescent="0.3">
      <c r="C77" s="9">
        <f t="shared" si="0"/>
        <v>0</v>
      </c>
      <c r="D77" s="32"/>
      <c r="E77" s="32"/>
      <c r="F77" s="29" t="str">
        <f t="shared" si="1"/>
        <v/>
      </c>
      <c r="G77" s="28"/>
      <c r="H77" s="28"/>
      <c r="I77" s="29" t="str">
        <f t="shared" si="2"/>
        <v/>
      </c>
    </row>
    <row r="78" spans="3:9" ht="22.5" customHeight="1" x14ac:dyDescent="0.3">
      <c r="C78" s="8" t="s">
        <v>173</v>
      </c>
      <c r="D78" s="13"/>
      <c r="E78" s="13"/>
      <c r="F78" s="30">
        <f>SUM(F46:F77)</f>
        <v>1</v>
      </c>
      <c r="G78" s="13"/>
      <c r="H78" s="13"/>
      <c r="I78" s="30">
        <f>SUM(I46:I77)</f>
        <v>1</v>
      </c>
    </row>
    <row r="79" spans="3:9" ht="22.5" customHeight="1" x14ac:dyDescent="0.3">
      <c r="C79" s="8"/>
      <c r="D79" s="13"/>
      <c r="E79" s="13"/>
      <c r="F79" s="8"/>
      <c r="G79" s="13"/>
      <c r="H79" s="13"/>
      <c r="I79" s="8"/>
    </row>
    <row r="80" spans="3:9" ht="22.5" customHeight="1" x14ac:dyDescent="0.3"/>
    <row r="81" spans="2:11" ht="22.5" customHeight="1" x14ac:dyDescent="0.3">
      <c r="B81" s="58" t="s">
        <v>9</v>
      </c>
      <c r="C81" s="5" t="s">
        <v>8</v>
      </c>
      <c r="D81" s="5" t="s">
        <v>10</v>
      </c>
      <c r="E81" s="61" t="s">
        <v>13</v>
      </c>
      <c r="F81" s="62"/>
      <c r="G81" s="12" t="s">
        <v>11</v>
      </c>
      <c r="H81" s="61" t="s">
        <v>12</v>
      </c>
      <c r="I81" s="62"/>
      <c r="J81" s="12" t="s">
        <v>14</v>
      </c>
      <c r="K81" s="12" t="s">
        <v>31</v>
      </c>
    </row>
    <row r="82" spans="2:11" ht="22.5" customHeight="1" x14ac:dyDescent="0.3">
      <c r="B82" s="59"/>
      <c r="C82" s="1" t="s">
        <v>0</v>
      </c>
      <c r="D82" s="8">
        <f>IF(VLOOKUP(G82,$C$46:$E$77,2,FALSE)="","",VLOOKUP(G82,$C$46:$E$77,2,FALSE))</f>
        <v>4</v>
      </c>
      <c r="E82" s="63" t="str">
        <f>IF(VLOOKUP(G82,$C$46:$E$77,3,FALSE)="","",VLOOKUP(G82,$C$46:$E$77,3,FALSE))</f>
        <v>01</v>
      </c>
      <c r="F82" s="64"/>
      <c r="G82" s="13" t="s">
        <v>50</v>
      </c>
      <c r="H82" s="63" t="str">
        <f>IFERROR(VLOOKUP(G82,$G$46:$H$77,2,FALSE),"")</f>
        <v>하드웨어 분석하기</v>
      </c>
      <c r="I82" s="64"/>
      <c r="J82" s="15" t="s">
        <v>559</v>
      </c>
      <c r="K82" s="53" t="s">
        <v>565</v>
      </c>
    </row>
    <row r="83" spans="2:11" ht="22.5" customHeight="1" x14ac:dyDescent="0.3">
      <c r="B83" s="59"/>
      <c r="C83" s="1" t="s">
        <v>1</v>
      </c>
      <c r="D83" s="8" t="str">
        <f t="shared" ref="D83:D84" si="3">IF(VLOOKUP(G83,$C$46:$E$77,2,FALSE)="","",VLOOKUP(G83,$C$46:$E$77,2,FALSE))</f>
        <v/>
      </c>
      <c r="E83" s="63" t="str">
        <f t="shared" ref="E83:E84" si="4">IF(VLOOKUP(G83,$C$46:$E$77,3,FALSE)="","",VLOOKUP(G83,$C$46:$E$77,3,FALSE))</f>
        <v/>
      </c>
      <c r="F83" s="64"/>
      <c r="G83" s="13"/>
      <c r="H83" s="63" t="str">
        <f t="shared" ref="H83:H90" si="5">IFERROR(VLOOKUP(G83,$G$46:$H$77,2,FALSE),"")</f>
        <v/>
      </c>
      <c r="I83" s="64"/>
      <c r="J83" s="15" t="s">
        <v>560</v>
      </c>
      <c r="K83" s="65"/>
    </row>
    <row r="84" spans="2:11" ht="22.5" customHeight="1" x14ac:dyDescent="0.3">
      <c r="B84" s="59"/>
      <c r="C84" s="1" t="s">
        <v>2</v>
      </c>
      <c r="D84" s="8" t="str">
        <f t="shared" si="3"/>
        <v/>
      </c>
      <c r="E84" s="63" t="str">
        <f t="shared" si="4"/>
        <v/>
      </c>
      <c r="F84" s="64"/>
      <c r="G84" s="13"/>
      <c r="H84" s="63" t="str">
        <f t="shared" si="5"/>
        <v/>
      </c>
      <c r="I84" s="64"/>
      <c r="J84" s="15" t="s">
        <v>561</v>
      </c>
      <c r="K84" s="65"/>
    </row>
    <row r="85" spans="2:11" ht="22.5" customHeight="1" x14ac:dyDescent="0.3">
      <c r="B85" s="59"/>
      <c r="C85" s="2" t="s">
        <v>18</v>
      </c>
      <c r="D85" s="7"/>
      <c r="E85" s="67"/>
      <c r="F85" s="68"/>
      <c r="G85" s="17"/>
      <c r="H85" s="67"/>
      <c r="I85" s="68"/>
      <c r="J85" s="16"/>
      <c r="K85" s="65"/>
    </row>
    <row r="86" spans="2:11" ht="22.5" customHeight="1" x14ac:dyDescent="0.3">
      <c r="B86" s="59"/>
      <c r="C86" s="1" t="s">
        <v>3</v>
      </c>
      <c r="D86" s="8" t="str">
        <f>IF(VLOOKUP(G86,$C$46:$E$77,2,FALSE)="","",VLOOKUP(G86,$C$46:$E$77,2,FALSE))</f>
        <v/>
      </c>
      <c r="E86" s="63" t="str">
        <f>IF(VLOOKUP(G86,$C$46:$E$77,3,FALSE)="","",VLOOKUP(G86,$C$46:$E$77,3,FALSE))</f>
        <v/>
      </c>
      <c r="F86" s="64"/>
      <c r="G86" s="13"/>
      <c r="H86" s="63" t="str">
        <f t="shared" si="5"/>
        <v/>
      </c>
      <c r="I86" s="64"/>
      <c r="J86" s="15" t="s">
        <v>562</v>
      </c>
      <c r="K86" s="65"/>
    </row>
    <row r="87" spans="2:11" ht="22.5" customHeight="1" x14ac:dyDescent="0.3">
      <c r="B87" s="59"/>
      <c r="C87" s="1" t="s">
        <v>4</v>
      </c>
      <c r="D87" s="8" t="str">
        <f t="shared" ref="D87:D90" si="6">IF(VLOOKUP(G87,$C$46:$E$77,2,FALSE)="","",VLOOKUP(G87,$C$46:$E$77,2,FALSE))</f>
        <v/>
      </c>
      <c r="E87" s="63" t="str">
        <f t="shared" ref="E87:E90" si="7">IF(VLOOKUP(G87,$C$46:$E$77,3,FALSE)="","",VLOOKUP(G87,$C$46:$E$77,3,FALSE))</f>
        <v/>
      </c>
      <c r="F87" s="64"/>
      <c r="G87" s="13"/>
      <c r="H87" s="63" t="str">
        <f t="shared" si="5"/>
        <v/>
      </c>
      <c r="I87" s="64"/>
      <c r="J87" s="15" t="s">
        <v>563</v>
      </c>
      <c r="K87" s="65"/>
    </row>
    <row r="88" spans="2:11" ht="22.5" customHeight="1" x14ac:dyDescent="0.3">
      <c r="B88" s="59"/>
      <c r="C88" s="1" t="s">
        <v>5</v>
      </c>
      <c r="D88" s="8" t="str">
        <f t="shared" si="6"/>
        <v/>
      </c>
      <c r="E88" s="63" t="str">
        <f t="shared" si="7"/>
        <v/>
      </c>
      <c r="F88" s="64"/>
      <c r="G88" s="13"/>
      <c r="H88" s="63" t="str">
        <f t="shared" si="5"/>
        <v/>
      </c>
      <c r="I88" s="64"/>
      <c r="J88" s="15" t="s">
        <v>564</v>
      </c>
      <c r="K88" s="65"/>
    </row>
    <row r="89" spans="2:11" ht="22.5" customHeight="1" x14ac:dyDescent="0.3">
      <c r="B89" s="59"/>
      <c r="C89" s="1" t="s">
        <v>6</v>
      </c>
      <c r="D89" s="8" t="str">
        <f t="shared" si="6"/>
        <v/>
      </c>
      <c r="E89" s="63" t="str">
        <f t="shared" si="7"/>
        <v/>
      </c>
      <c r="F89" s="64"/>
      <c r="G89" s="13"/>
      <c r="H89" s="63" t="str">
        <f t="shared" si="5"/>
        <v/>
      </c>
      <c r="I89" s="64"/>
      <c r="J89" s="15"/>
      <c r="K89" s="65"/>
    </row>
    <row r="90" spans="2:11" ht="22.5" customHeight="1" x14ac:dyDescent="0.3">
      <c r="B90" s="60"/>
      <c r="C90" s="1" t="s">
        <v>7</v>
      </c>
      <c r="D90" s="8" t="str">
        <f t="shared" si="6"/>
        <v/>
      </c>
      <c r="E90" s="63" t="str">
        <f t="shared" si="7"/>
        <v/>
      </c>
      <c r="F90" s="64"/>
      <c r="G90" s="13"/>
      <c r="H90" s="63" t="str">
        <f t="shared" si="5"/>
        <v/>
      </c>
      <c r="I90" s="64"/>
      <c r="J90" s="15"/>
      <c r="K90" s="66"/>
    </row>
    <row r="91" spans="2:11" ht="22.5" customHeight="1" x14ac:dyDescent="0.3">
      <c r="B91" s="58" t="s">
        <v>16</v>
      </c>
      <c r="C91" s="5" t="s">
        <v>8</v>
      </c>
      <c r="D91" s="5" t="s">
        <v>10</v>
      </c>
      <c r="E91" s="61" t="s">
        <v>13</v>
      </c>
      <c r="F91" s="62"/>
      <c r="G91" s="12" t="s">
        <v>11</v>
      </c>
      <c r="H91" s="61" t="s">
        <v>12</v>
      </c>
      <c r="I91" s="62"/>
      <c r="J91" s="12" t="s">
        <v>14</v>
      </c>
      <c r="K91" s="12" t="s">
        <v>32</v>
      </c>
    </row>
    <row r="92" spans="2:11" ht="22.5" customHeight="1" x14ac:dyDescent="0.3">
      <c r="B92" s="59"/>
      <c r="C92" s="1" t="s">
        <v>0</v>
      </c>
      <c r="D92" s="8" t="str">
        <f>IF(VLOOKUP(G92,$C$46:$E$77,2,FALSE)="","",VLOOKUP(G92,$C$46:$E$77,2,FALSE))</f>
        <v/>
      </c>
      <c r="E92" s="63" t="str">
        <f>IF(VLOOKUP(G92,$C$46:$E$77,3,FALSE)="","",VLOOKUP(G92,$C$46:$E$77,3,FALSE))</f>
        <v/>
      </c>
      <c r="F92" s="64"/>
      <c r="G92" s="13"/>
      <c r="H92" s="63" t="str">
        <f>IFERROR(VLOOKUP(G92,$G$46:$H$77,2,FALSE),"")</f>
        <v/>
      </c>
      <c r="I92" s="64"/>
      <c r="J92" s="15"/>
      <c r="K92" s="54"/>
    </row>
    <row r="93" spans="2:11" ht="22.5" customHeight="1" x14ac:dyDescent="0.3">
      <c r="B93" s="59"/>
      <c r="C93" s="1" t="s">
        <v>1</v>
      </c>
      <c r="D93" s="8" t="str">
        <f t="shared" ref="D93:D94" si="8">IF(VLOOKUP(G93,$C$46:$E$77,2,FALSE)="","",VLOOKUP(G93,$C$46:$E$77,2,FALSE))</f>
        <v/>
      </c>
      <c r="E93" s="63" t="str">
        <f t="shared" ref="E93:E94" si="9">IF(VLOOKUP(G93,$C$46:$E$77,3,FALSE)="","",VLOOKUP(G93,$C$46:$E$77,3,FALSE))</f>
        <v/>
      </c>
      <c r="F93" s="64"/>
      <c r="G93" s="13"/>
      <c r="H93" s="63" t="str">
        <f t="shared" ref="H93:H100" si="10">IFERROR(VLOOKUP(G93,$G$46:$H$77,2,FALSE),"")</f>
        <v/>
      </c>
      <c r="I93" s="64"/>
      <c r="J93" s="15"/>
      <c r="K93" s="65"/>
    </row>
    <row r="94" spans="2:11" ht="22.5" customHeight="1" x14ac:dyDescent="0.3">
      <c r="B94" s="59"/>
      <c r="C94" s="1" t="s">
        <v>2</v>
      </c>
      <c r="D94" s="8" t="str">
        <f t="shared" si="8"/>
        <v/>
      </c>
      <c r="E94" s="63" t="str">
        <f t="shared" si="9"/>
        <v/>
      </c>
      <c r="F94" s="64"/>
      <c r="G94" s="13"/>
      <c r="H94" s="63" t="str">
        <f t="shared" si="10"/>
        <v/>
      </c>
      <c r="I94" s="64"/>
      <c r="J94" s="15"/>
      <c r="K94" s="65"/>
    </row>
    <row r="95" spans="2:11" ht="22.5" customHeight="1" x14ac:dyDescent="0.3">
      <c r="B95" s="59"/>
      <c r="C95" s="2" t="s">
        <v>18</v>
      </c>
      <c r="D95" s="7"/>
      <c r="E95" s="67"/>
      <c r="F95" s="68"/>
      <c r="G95" s="17"/>
      <c r="H95" s="67"/>
      <c r="I95" s="68"/>
      <c r="J95" s="16"/>
      <c r="K95" s="65"/>
    </row>
    <row r="96" spans="2:11" ht="22.5" customHeight="1" x14ac:dyDescent="0.3">
      <c r="B96" s="59"/>
      <c r="C96" s="1" t="s">
        <v>3</v>
      </c>
      <c r="D96" s="8" t="str">
        <f>IF(VLOOKUP(G96,$C$46:$E$77,2,FALSE)="","",VLOOKUP(G96,$C$46:$E$77,2,FALSE))</f>
        <v/>
      </c>
      <c r="E96" s="63" t="str">
        <f>IF(VLOOKUP(G96,$C$46:$E$77,3,FALSE)="","",VLOOKUP(G96,$C$46:$E$77,3,FALSE))</f>
        <v/>
      </c>
      <c r="F96" s="64"/>
      <c r="G96" s="13"/>
      <c r="H96" s="63" t="str">
        <f t="shared" si="10"/>
        <v/>
      </c>
      <c r="I96" s="64"/>
      <c r="J96" s="15"/>
      <c r="K96" s="65"/>
    </row>
    <row r="97" spans="2:11" ht="22.5" customHeight="1" x14ac:dyDescent="0.3">
      <c r="B97" s="59"/>
      <c r="C97" s="1" t="s">
        <v>4</v>
      </c>
      <c r="D97" s="8" t="str">
        <f t="shared" ref="D97:D100" si="11">IF(VLOOKUP(G97,$C$46:$E$77,2,FALSE)="","",VLOOKUP(G97,$C$46:$E$77,2,FALSE))</f>
        <v/>
      </c>
      <c r="E97" s="63" t="str">
        <f t="shared" ref="E97:E100" si="12">IF(VLOOKUP(G97,$C$46:$E$77,3,FALSE)="","",VLOOKUP(G97,$C$46:$E$77,3,FALSE))</f>
        <v/>
      </c>
      <c r="F97" s="64"/>
      <c r="G97" s="13"/>
      <c r="H97" s="63" t="str">
        <f t="shared" si="10"/>
        <v/>
      </c>
      <c r="I97" s="64"/>
      <c r="J97" s="15"/>
      <c r="K97" s="65"/>
    </row>
    <row r="98" spans="2:11" ht="22.5" customHeight="1" x14ac:dyDescent="0.3">
      <c r="B98" s="59"/>
      <c r="C98" s="1" t="s">
        <v>5</v>
      </c>
      <c r="D98" s="8" t="str">
        <f t="shared" si="11"/>
        <v/>
      </c>
      <c r="E98" s="63" t="str">
        <f t="shared" si="12"/>
        <v/>
      </c>
      <c r="F98" s="64"/>
      <c r="G98" s="13"/>
      <c r="H98" s="63" t="str">
        <f t="shared" si="10"/>
        <v/>
      </c>
      <c r="I98" s="64"/>
      <c r="J98" s="15"/>
      <c r="K98" s="65"/>
    </row>
    <row r="99" spans="2:11" ht="22.5" customHeight="1" x14ac:dyDescent="0.3">
      <c r="B99" s="59"/>
      <c r="C99" s="1" t="s">
        <v>6</v>
      </c>
      <c r="D99" s="8" t="str">
        <f t="shared" si="11"/>
        <v/>
      </c>
      <c r="E99" s="63" t="str">
        <f t="shared" si="12"/>
        <v/>
      </c>
      <c r="F99" s="64"/>
      <c r="G99" s="13"/>
      <c r="H99" s="63" t="str">
        <f t="shared" si="10"/>
        <v/>
      </c>
      <c r="I99" s="64"/>
      <c r="J99" s="15"/>
      <c r="K99" s="65"/>
    </row>
    <row r="100" spans="2:11" ht="22.5" customHeight="1" x14ac:dyDescent="0.3">
      <c r="B100" s="60"/>
      <c r="C100" s="1" t="s">
        <v>7</v>
      </c>
      <c r="D100" s="8" t="str">
        <f t="shared" si="11"/>
        <v/>
      </c>
      <c r="E100" s="63" t="str">
        <f t="shared" si="12"/>
        <v/>
      </c>
      <c r="F100" s="64"/>
      <c r="G100" s="13"/>
      <c r="H100" s="63" t="str">
        <f t="shared" si="10"/>
        <v/>
      </c>
      <c r="I100" s="64"/>
      <c r="J100" s="15"/>
      <c r="K100" s="66"/>
    </row>
    <row r="101" spans="2:11" ht="22.5" customHeight="1" x14ac:dyDescent="0.3">
      <c r="B101" s="58" t="s">
        <v>17</v>
      </c>
      <c r="C101" s="5" t="s">
        <v>8</v>
      </c>
      <c r="D101" s="5" t="s">
        <v>10</v>
      </c>
      <c r="E101" s="61" t="s">
        <v>13</v>
      </c>
      <c r="F101" s="62"/>
      <c r="G101" s="12" t="s">
        <v>11</v>
      </c>
      <c r="H101" s="61" t="s">
        <v>12</v>
      </c>
      <c r="I101" s="62"/>
      <c r="J101" s="12" t="s">
        <v>14</v>
      </c>
      <c r="K101" s="12" t="s">
        <v>33</v>
      </c>
    </row>
    <row r="102" spans="2:11" ht="22.5" customHeight="1" x14ac:dyDescent="0.3">
      <c r="B102" s="59"/>
      <c r="C102" s="1" t="s">
        <v>0</v>
      </c>
      <c r="D102" s="8" t="str">
        <f>IF(VLOOKUP(G102,$C$46:$E$77,2,FALSE)="","",VLOOKUP(G102,$C$46:$E$77,2,FALSE))</f>
        <v/>
      </c>
      <c r="E102" s="63" t="str">
        <f>IF(VLOOKUP(G102,$C$46:$E$77,3,FALSE)="","",VLOOKUP(G102,$C$46:$E$77,3,FALSE))</f>
        <v/>
      </c>
      <c r="F102" s="64"/>
      <c r="G102" s="13"/>
      <c r="H102" s="63" t="str">
        <f>IFERROR(VLOOKUP(G102,$G$46:$H$77,2,FALSE),"")</f>
        <v/>
      </c>
      <c r="I102" s="64"/>
      <c r="J102" s="15"/>
      <c r="K102" s="54"/>
    </row>
    <row r="103" spans="2:11" ht="22.5" customHeight="1" x14ac:dyDescent="0.3">
      <c r="B103" s="59"/>
      <c r="C103" s="1" t="s">
        <v>1</v>
      </c>
      <c r="D103" s="8" t="str">
        <f t="shared" ref="D103:D104" si="13">IF(VLOOKUP(G103,$C$46:$E$77,2,FALSE)="","",VLOOKUP(G103,$C$46:$E$77,2,FALSE))</f>
        <v/>
      </c>
      <c r="E103" s="63" t="str">
        <f t="shared" ref="E103:E104" si="14">IF(VLOOKUP(G103,$C$46:$E$77,3,FALSE)="","",VLOOKUP(G103,$C$46:$E$77,3,FALSE))</f>
        <v/>
      </c>
      <c r="F103" s="64"/>
      <c r="G103" s="13"/>
      <c r="H103" s="63" t="str">
        <f t="shared" ref="H103:H110" si="15">IFERROR(VLOOKUP(G103,$G$46:$H$77,2,FALSE),"")</f>
        <v/>
      </c>
      <c r="I103" s="64"/>
      <c r="J103" s="15"/>
      <c r="K103" s="65"/>
    </row>
    <row r="104" spans="2:11" ht="22.5" customHeight="1" x14ac:dyDescent="0.3">
      <c r="B104" s="59"/>
      <c r="C104" s="1" t="s">
        <v>2</v>
      </c>
      <c r="D104" s="8" t="str">
        <f t="shared" si="13"/>
        <v/>
      </c>
      <c r="E104" s="63" t="str">
        <f t="shared" si="14"/>
        <v/>
      </c>
      <c r="F104" s="64"/>
      <c r="G104" s="13"/>
      <c r="H104" s="63" t="str">
        <f t="shared" si="15"/>
        <v/>
      </c>
      <c r="I104" s="64"/>
      <c r="J104" s="15"/>
      <c r="K104" s="65"/>
    </row>
    <row r="105" spans="2:11" ht="22.5" customHeight="1" x14ac:dyDescent="0.3">
      <c r="B105" s="59"/>
      <c r="C105" s="2" t="s">
        <v>18</v>
      </c>
      <c r="D105" s="7"/>
      <c r="E105" s="67"/>
      <c r="F105" s="68"/>
      <c r="G105" s="17"/>
      <c r="H105" s="67"/>
      <c r="I105" s="68"/>
      <c r="J105" s="16"/>
      <c r="K105" s="65"/>
    </row>
    <row r="106" spans="2:11" ht="22.5" customHeight="1" x14ac:dyDescent="0.3">
      <c r="B106" s="59"/>
      <c r="C106" s="1" t="s">
        <v>3</v>
      </c>
      <c r="D106" s="8" t="str">
        <f>IF(VLOOKUP(G106,$C$46:$E$77,2,FALSE)="","",VLOOKUP(G106,$C$46:$E$77,2,FALSE))</f>
        <v/>
      </c>
      <c r="E106" s="63" t="str">
        <f>IF(VLOOKUP(G106,$C$46:$E$77,3,FALSE)="","",VLOOKUP(G106,$C$46:$E$77,3,FALSE))</f>
        <v/>
      </c>
      <c r="F106" s="64"/>
      <c r="G106" s="13"/>
      <c r="H106" s="63" t="str">
        <f t="shared" si="15"/>
        <v/>
      </c>
      <c r="I106" s="64"/>
      <c r="J106" s="15"/>
      <c r="K106" s="65"/>
    </row>
    <row r="107" spans="2:11" ht="22.5" customHeight="1" x14ac:dyDescent="0.3">
      <c r="B107" s="59"/>
      <c r="C107" s="1" t="s">
        <v>4</v>
      </c>
      <c r="D107" s="8" t="str">
        <f t="shared" ref="D107:D110" si="16">IF(VLOOKUP(G107,$C$46:$E$77,2,FALSE)="","",VLOOKUP(G107,$C$46:$E$77,2,FALSE))</f>
        <v/>
      </c>
      <c r="E107" s="63" t="str">
        <f t="shared" ref="E107:E110" si="17">IF(VLOOKUP(G107,$C$46:$E$77,3,FALSE)="","",VLOOKUP(G107,$C$46:$E$77,3,FALSE))</f>
        <v/>
      </c>
      <c r="F107" s="64"/>
      <c r="G107" s="13"/>
      <c r="H107" s="63" t="str">
        <f t="shared" si="15"/>
        <v/>
      </c>
      <c r="I107" s="64"/>
      <c r="J107" s="15"/>
      <c r="K107" s="65"/>
    </row>
    <row r="108" spans="2:11" ht="22.5" customHeight="1" x14ac:dyDescent="0.3">
      <c r="B108" s="59"/>
      <c r="C108" s="1" t="s">
        <v>5</v>
      </c>
      <c r="D108" s="8" t="str">
        <f t="shared" si="16"/>
        <v/>
      </c>
      <c r="E108" s="63" t="str">
        <f t="shared" si="17"/>
        <v/>
      </c>
      <c r="F108" s="64"/>
      <c r="G108" s="13"/>
      <c r="H108" s="63" t="str">
        <f t="shared" si="15"/>
        <v/>
      </c>
      <c r="I108" s="64"/>
      <c r="J108" s="15"/>
      <c r="K108" s="65"/>
    </row>
    <row r="109" spans="2:11" ht="22.5" customHeight="1" x14ac:dyDescent="0.3">
      <c r="B109" s="59"/>
      <c r="C109" s="1" t="s">
        <v>6</v>
      </c>
      <c r="D109" s="8" t="str">
        <f t="shared" si="16"/>
        <v/>
      </c>
      <c r="E109" s="63" t="str">
        <f t="shared" si="17"/>
        <v/>
      </c>
      <c r="F109" s="64"/>
      <c r="G109" s="13"/>
      <c r="H109" s="63" t="str">
        <f t="shared" si="15"/>
        <v/>
      </c>
      <c r="I109" s="64"/>
      <c r="J109" s="15"/>
      <c r="K109" s="65"/>
    </row>
    <row r="110" spans="2:11" ht="22.5" customHeight="1" x14ac:dyDescent="0.3">
      <c r="B110" s="60"/>
      <c r="C110" s="1" t="s">
        <v>7</v>
      </c>
      <c r="D110" s="8" t="str">
        <f t="shared" si="16"/>
        <v/>
      </c>
      <c r="E110" s="63" t="str">
        <f t="shared" si="17"/>
        <v/>
      </c>
      <c r="F110" s="64"/>
      <c r="G110" s="13"/>
      <c r="H110" s="63" t="str">
        <f t="shared" si="15"/>
        <v/>
      </c>
      <c r="I110" s="64"/>
      <c r="J110" s="15"/>
      <c r="K110" s="66"/>
    </row>
    <row r="111" spans="2:11" ht="22.5" customHeight="1" x14ac:dyDescent="0.3">
      <c r="B111" s="58" t="s">
        <v>19</v>
      </c>
      <c r="C111" s="5" t="s">
        <v>8</v>
      </c>
      <c r="D111" s="5" t="s">
        <v>10</v>
      </c>
      <c r="E111" s="61" t="s">
        <v>13</v>
      </c>
      <c r="F111" s="62"/>
      <c r="G111" s="12" t="s">
        <v>11</v>
      </c>
      <c r="H111" s="61" t="s">
        <v>12</v>
      </c>
      <c r="I111" s="62"/>
      <c r="J111" s="12" t="s">
        <v>14</v>
      </c>
      <c r="K111" s="12" t="s">
        <v>34</v>
      </c>
    </row>
    <row r="112" spans="2:11" ht="22.5" customHeight="1" x14ac:dyDescent="0.3">
      <c r="B112" s="59"/>
      <c r="C112" s="1" t="s">
        <v>0</v>
      </c>
      <c r="D112" s="8" t="str">
        <f>IF(VLOOKUP(G112,$C$46:$E$77,2,FALSE)="","",VLOOKUP(G112,$C$46:$E$77,2,FALSE))</f>
        <v/>
      </c>
      <c r="E112" s="63" t="str">
        <f>IF(VLOOKUP(G112,$C$46:$E$77,3,FALSE)="","",VLOOKUP(G112,$C$46:$E$77,3,FALSE))</f>
        <v/>
      </c>
      <c r="F112" s="64"/>
      <c r="G112" s="13"/>
      <c r="H112" s="63" t="str">
        <f>IFERROR(VLOOKUP(G112,$G$46:$H$77,2,FALSE),"")</f>
        <v/>
      </c>
      <c r="I112" s="64"/>
      <c r="J112" s="15"/>
      <c r="K112" s="54"/>
    </row>
    <row r="113" spans="2:11" ht="22.5" customHeight="1" x14ac:dyDescent="0.3">
      <c r="B113" s="59"/>
      <c r="C113" s="1" t="s">
        <v>1</v>
      </c>
      <c r="D113" s="8" t="str">
        <f t="shared" ref="D113:D114" si="18">IF(VLOOKUP(G113,$C$46:$E$77,2,FALSE)="","",VLOOKUP(G113,$C$46:$E$77,2,FALSE))</f>
        <v/>
      </c>
      <c r="E113" s="63" t="str">
        <f t="shared" ref="E113:E114" si="19">IF(VLOOKUP(G113,$C$46:$E$77,3,FALSE)="","",VLOOKUP(G113,$C$46:$E$77,3,FALSE))</f>
        <v/>
      </c>
      <c r="F113" s="64"/>
      <c r="G113" s="13"/>
      <c r="H113" s="63" t="str">
        <f t="shared" ref="H113:H120" si="20">IFERROR(VLOOKUP(G113,$G$46:$H$77,2,FALSE),"")</f>
        <v/>
      </c>
      <c r="I113" s="64"/>
      <c r="J113" s="15"/>
      <c r="K113" s="65"/>
    </row>
    <row r="114" spans="2:11" ht="22.5" customHeight="1" x14ac:dyDescent="0.3">
      <c r="B114" s="59"/>
      <c r="C114" s="1" t="s">
        <v>2</v>
      </c>
      <c r="D114" s="8" t="str">
        <f t="shared" si="18"/>
        <v/>
      </c>
      <c r="E114" s="63" t="str">
        <f t="shared" si="19"/>
        <v/>
      </c>
      <c r="F114" s="64"/>
      <c r="G114" s="13"/>
      <c r="H114" s="63" t="str">
        <f t="shared" si="20"/>
        <v/>
      </c>
      <c r="I114" s="64"/>
      <c r="J114" s="15"/>
      <c r="K114" s="65"/>
    </row>
    <row r="115" spans="2:11" ht="22.5" customHeight="1" x14ac:dyDescent="0.3">
      <c r="B115" s="59"/>
      <c r="C115" s="2" t="s">
        <v>18</v>
      </c>
      <c r="D115" s="7"/>
      <c r="E115" s="67"/>
      <c r="F115" s="68"/>
      <c r="G115" s="17"/>
      <c r="H115" s="67"/>
      <c r="I115" s="68"/>
      <c r="J115" s="16"/>
      <c r="K115" s="65"/>
    </row>
    <row r="116" spans="2:11" ht="22.5" customHeight="1" x14ac:dyDescent="0.3">
      <c r="B116" s="59"/>
      <c r="C116" s="1" t="s">
        <v>3</v>
      </c>
      <c r="D116" s="8" t="str">
        <f>IF(VLOOKUP(G116,$C$46:$E$77,2,FALSE)="","",VLOOKUP(G116,$C$46:$E$77,2,FALSE))</f>
        <v/>
      </c>
      <c r="E116" s="63" t="str">
        <f>IF(VLOOKUP(G116,$C$46:$E$77,3,FALSE)="","",VLOOKUP(G116,$C$46:$E$77,3,FALSE))</f>
        <v/>
      </c>
      <c r="F116" s="64"/>
      <c r="G116" s="13"/>
      <c r="H116" s="63" t="str">
        <f t="shared" si="20"/>
        <v/>
      </c>
      <c r="I116" s="64"/>
      <c r="J116" s="15"/>
      <c r="K116" s="65"/>
    </row>
    <row r="117" spans="2:11" ht="22.5" customHeight="1" x14ac:dyDescent="0.3">
      <c r="B117" s="59"/>
      <c r="C117" s="1" t="s">
        <v>4</v>
      </c>
      <c r="D117" s="8" t="str">
        <f t="shared" ref="D117:D120" si="21">IF(VLOOKUP(G117,$C$46:$E$77,2,FALSE)="","",VLOOKUP(G117,$C$46:$E$77,2,FALSE))</f>
        <v/>
      </c>
      <c r="E117" s="63" t="str">
        <f t="shared" ref="E117:E120" si="22">IF(VLOOKUP(G117,$C$46:$E$77,3,FALSE)="","",VLOOKUP(G117,$C$46:$E$77,3,FALSE))</f>
        <v/>
      </c>
      <c r="F117" s="64"/>
      <c r="G117" s="13"/>
      <c r="H117" s="63" t="str">
        <f t="shared" si="20"/>
        <v/>
      </c>
      <c r="I117" s="64"/>
      <c r="J117" s="15"/>
      <c r="K117" s="65"/>
    </row>
    <row r="118" spans="2:11" ht="22.5" customHeight="1" x14ac:dyDescent="0.3">
      <c r="B118" s="59"/>
      <c r="C118" s="1" t="s">
        <v>5</v>
      </c>
      <c r="D118" s="8" t="str">
        <f t="shared" si="21"/>
        <v/>
      </c>
      <c r="E118" s="63" t="str">
        <f t="shared" si="22"/>
        <v/>
      </c>
      <c r="F118" s="64"/>
      <c r="G118" s="13"/>
      <c r="H118" s="63" t="str">
        <f t="shared" si="20"/>
        <v/>
      </c>
      <c r="I118" s="64"/>
      <c r="J118" s="15"/>
      <c r="K118" s="65"/>
    </row>
    <row r="119" spans="2:11" ht="22.5" customHeight="1" x14ac:dyDescent="0.3">
      <c r="B119" s="59"/>
      <c r="C119" s="1" t="s">
        <v>6</v>
      </c>
      <c r="D119" s="8" t="str">
        <f t="shared" si="21"/>
        <v/>
      </c>
      <c r="E119" s="63" t="str">
        <f t="shared" si="22"/>
        <v/>
      </c>
      <c r="F119" s="64"/>
      <c r="G119" s="13"/>
      <c r="H119" s="63" t="str">
        <f t="shared" si="20"/>
        <v/>
      </c>
      <c r="I119" s="64"/>
      <c r="J119" s="15"/>
      <c r="K119" s="65"/>
    </row>
    <row r="120" spans="2:11" ht="22.5" customHeight="1" x14ac:dyDescent="0.3">
      <c r="B120" s="60"/>
      <c r="C120" s="1" t="s">
        <v>7</v>
      </c>
      <c r="D120" s="8" t="str">
        <f t="shared" si="21"/>
        <v/>
      </c>
      <c r="E120" s="63" t="str">
        <f t="shared" si="22"/>
        <v/>
      </c>
      <c r="F120" s="64"/>
      <c r="G120" s="13"/>
      <c r="H120" s="63" t="str">
        <f t="shared" si="20"/>
        <v/>
      </c>
      <c r="I120" s="64"/>
      <c r="J120" s="15"/>
      <c r="K120" s="66"/>
    </row>
    <row r="121" spans="2:11" ht="22.5" customHeight="1" x14ac:dyDescent="0.3">
      <c r="B121" s="58" t="s">
        <v>20</v>
      </c>
      <c r="C121" s="5" t="s">
        <v>8</v>
      </c>
      <c r="D121" s="5" t="s">
        <v>10</v>
      </c>
      <c r="E121" s="61" t="s">
        <v>13</v>
      </c>
      <c r="F121" s="62"/>
      <c r="G121" s="12" t="s">
        <v>11</v>
      </c>
      <c r="H121" s="61" t="s">
        <v>12</v>
      </c>
      <c r="I121" s="62"/>
      <c r="J121" s="12" t="s">
        <v>14</v>
      </c>
      <c r="K121" s="12" t="s">
        <v>35</v>
      </c>
    </row>
    <row r="122" spans="2:11" ht="22.5" customHeight="1" x14ac:dyDescent="0.3">
      <c r="B122" s="59"/>
      <c r="C122" s="1" t="s">
        <v>0</v>
      </c>
      <c r="D122" s="8" t="str">
        <f>IF(VLOOKUP(G122,$C$46:$E$77,2,FALSE)="","",VLOOKUP(G122,$C$46:$E$77,2,FALSE))</f>
        <v/>
      </c>
      <c r="E122" s="63" t="str">
        <f>IF(VLOOKUP(G122,$C$46:$E$77,3,FALSE)="","",VLOOKUP(G122,$C$46:$E$77,3,FALSE))</f>
        <v/>
      </c>
      <c r="F122" s="64"/>
      <c r="G122" s="13"/>
      <c r="H122" s="63" t="str">
        <f>IFERROR(VLOOKUP(G122,$G$46:$H$77,2,FALSE),"")</f>
        <v/>
      </c>
      <c r="I122" s="64"/>
      <c r="J122" s="15"/>
      <c r="K122" s="54"/>
    </row>
    <row r="123" spans="2:11" ht="22.5" customHeight="1" x14ac:dyDescent="0.3">
      <c r="B123" s="59"/>
      <c r="C123" s="1" t="s">
        <v>1</v>
      </c>
      <c r="D123" s="8" t="str">
        <f t="shared" ref="D123:D124" si="23">IF(VLOOKUP(G123,$C$46:$E$77,2,FALSE)="","",VLOOKUP(G123,$C$46:$E$77,2,FALSE))</f>
        <v/>
      </c>
      <c r="E123" s="63" t="str">
        <f t="shared" ref="E123:E124" si="24">IF(VLOOKUP(G123,$C$46:$E$77,3,FALSE)="","",VLOOKUP(G123,$C$46:$E$77,3,FALSE))</f>
        <v/>
      </c>
      <c r="F123" s="64"/>
      <c r="G123" s="13"/>
      <c r="H123" s="63" t="str">
        <f t="shared" ref="H123:H130" si="25">IFERROR(VLOOKUP(G123,$G$46:$H$77,2,FALSE),"")</f>
        <v/>
      </c>
      <c r="I123" s="64"/>
      <c r="J123" s="15"/>
      <c r="K123" s="65"/>
    </row>
    <row r="124" spans="2:11" ht="22.5" customHeight="1" x14ac:dyDescent="0.3">
      <c r="B124" s="59"/>
      <c r="C124" s="1" t="s">
        <v>2</v>
      </c>
      <c r="D124" s="8" t="str">
        <f t="shared" si="23"/>
        <v/>
      </c>
      <c r="E124" s="63" t="str">
        <f t="shared" si="24"/>
        <v/>
      </c>
      <c r="F124" s="64"/>
      <c r="G124" s="13"/>
      <c r="H124" s="63" t="str">
        <f t="shared" si="25"/>
        <v/>
      </c>
      <c r="I124" s="64"/>
      <c r="J124" s="15"/>
      <c r="K124" s="65"/>
    </row>
    <row r="125" spans="2:11" ht="22.5" customHeight="1" x14ac:dyDescent="0.3">
      <c r="B125" s="59"/>
      <c r="C125" s="2" t="s">
        <v>18</v>
      </c>
      <c r="D125" s="7"/>
      <c r="E125" s="67"/>
      <c r="F125" s="68"/>
      <c r="G125" s="17"/>
      <c r="H125" s="67"/>
      <c r="I125" s="68"/>
      <c r="J125" s="16"/>
      <c r="K125" s="65"/>
    </row>
    <row r="126" spans="2:11" ht="22.5" customHeight="1" x14ac:dyDescent="0.3">
      <c r="B126" s="59"/>
      <c r="C126" s="1" t="s">
        <v>3</v>
      </c>
      <c r="D126" s="8" t="str">
        <f>IF(VLOOKUP(G126,$C$46:$E$77,2,FALSE)="","",VLOOKUP(G126,$C$46:$E$77,2,FALSE))</f>
        <v/>
      </c>
      <c r="E126" s="63" t="str">
        <f>IF(VLOOKUP(G126,$C$46:$E$77,3,FALSE)="","",VLOOKUP(G126,$C$46:$E$77,3,FALSE))</f>
        <v/>
      </c>
      <c r="F126" s="64"/>
      <c r="G126" s="13"/>
      <c r="H126" s="63" t="str">
        <f t="shared" si="25"/>
        <v/>
      </c>
      <c r="I126" s="64"/>
      <c r="J126" s="15"/>
      <c r="K126" s="65"/>
    </row>
    <row r="127" spans="2:11" ht="22.5" customHeight="1" x14ac:dyDescent="0.3">
      <c r="B127" s="59"/>
      <c r="C127" s="1" t="s">
        <v>4</v>
      </c>
      <c r="D127" s="8" t="str">
        <f t="shared" ref="D127:D130" si="26">IF(VLOOKUP(G127,$C$46:$E$77,2,FALSE)="","",VLOOKUP(G127,$C$46:$E$77,2,FALSE))</f>
        <v/>
      </c>
      <c r="E127" s="63" t="str">
        <f t="shared" ref="E127:E130" si="27">IF(VLOOKUP(G127,$C$46:$E$77,3,FALSE)="","",VLOOKUP(G127,$C$46:$E$77,3,FALSE))</f>
        <v/>
      </c>
      <c r="F127" s="64"/>
      <c r="G127" s="13"/>
      <c r="H127" s="63" t="str">
        <f t="shared" si="25"/>
        <v/>
      </c>
      <c r="I127" s="64"/>
      <c r="J127" s="15"/>
      <c r="K127" s="65"/>
    </row>
    <row r="128" spans="2:11" ht="22.5" customHeight="1" x14ac:dyDescent="0.3">
      <c r="B128" s="59"/>
      <c r="C128" s="1" t="s">
        <v>5</v>
      </c>
      <c r="D128" s="8" t="str">
        <f t="shared" si="26"/>
        <v/>
      </c>
      <c r="E128" s="63" t="str">
        <f t="shared" si="27"/>
        <v/>
      </c>
      <c r="F128" s="64"/>
      <c r="G128" s="13"/>
      <c r="H128" s="63" t="str">
        <f t="shared" si="25"/>
        <v/>
      </c>
      <c r="I128" s="64"/>
      <c r="J128" s="15"/>
      <c r="K128" s="65"/>
    </row>
    <row r="129" spans="2:11" ht="22.5" customHeight="1" x14ac:dyDescent="0.3">
      <c r="B129" s="59"/>
      <c r="C129" s="1" t="s">
        <v>6</v>
      </c>
      <c r="D129" s="8" t="str">
        <f t="shared" si="26"/>
        <v/>
      </c>
      <c r="E129" s="63" t="str">
        <f t="shared" si="27"/>
        <v/>
      </c>
      <c r="F129" s="64"/>
      <c r="G129" s="13"/>
      <c r="H129" s="63" t="str">
        <f t="shared" si="25"/>
        <v/>
      </c>
      <c r="I129" s="64"/>
      <c r="J129" s="15"/>
      <c r="K129" s="65"/>
    </row>
    <row r="130" spans="2:11" ht="22.5" customHeight="1" x14ac:dyDescent="0.3">
      <c r="B130" s="60"/>
      <c r="C130" s="1" t="s">
        <v>7</v>
      </c>
      <c r="D130" s="8" t="str">
        <f t="shared" si="26"/>
        <v/>
      </c>
      <c r="E130" s="63" t="str">
        <f t="shared" si="27"/>
        <v/>
      </c>
      <c r="F130" s="64"/>
      <c r="G130" s="13"/>
      <c r="H130" s="63" t="str">
        <f t="shared" si="25"/>
        <v/>
      </c>
      <c r="I130" s="64"/>
      <c r="J130" s="15"/>
      <c r="K130" s="66"/>
    </row>
    <row r="131" spans="2:11" ht="22.5" customHeight="1" x14ac:dyDescent="0.3">
      <c r="K131" s="11">
        <f>COUNTA(K82,K92,K102,K112,K122)</f>
        <v>1</v>
      </c>
    </row>
    <row r="132" spans="2:11" ht="22.5" customHeight="1" x14ac:dyDescent="0.3"/>
    <row r="133" spans="2:11" ht="22.5" customHeight="1" x14ac:dyDescent="0.3"/>
    <row r="134" spans="2:11" ht="22.5" customHeight="1" x14ac:dyDescent="0.3"/>
    <row r="135" spans="2:11" ht="22.5" customHeight="1" x14ac:dyDescent="0.3"/>
    <row r="136" spans="2:11" ht="22.5" customHeight="1" x14ac:dyDescent="0.3"/>
    <row r="137" spans="2:11" ht="22.5" customHeight="1" x14ac:dyDescent="0.3"/>
    <row r="138" spans="2:11" ht="22.5" customHeight="1" x14ac:dyDescent="0.3"/>
    <row r="139" spans="2:11" ht="22.5" customHeight="1" x14ac:dyDescent="0.3"/>
    <row r="140" spans="2:11" ht="22.5" customHeight="1" x14ac:dyDescent="0.3"/>
    <row r="141" spans="2:11" ht="22.5" customHeight="1" x14ac:dyDescent="0.3"/>
    <row r="142" spans="2:11"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A9A28D60-53E5-4989-9A61-F0EEF0E127A3}">
          <x14:formula1>
            <xm:f>통합!$A$2:$A$43</xm:f>
          </x14:formula1>
          <xm:sqref>J46:J77</xm:sqref>
        </x14:dataValidation>
        <x14:dataValidation type="list" allowBlank="1" showInputMessage="1" showErrorMessage="1" xr:uid="{CF20489A-6FBA-44EB-B6BC-D6A38CADE9AA}">
          <x14:formula1>
            <xm:f>통합!$A$2:$A$52</xm:f>
          </x14:formula1>
          <xm:sqref>C2:I2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B551-535B-488C-87A4-C2A6CB6F07DC}">
  <dimension ref="A1:O142"/>
  <sheetViews>
    <sheetView topLeftCell="A28" zoomScaleNormal="100" workbookViewId="0">
      <selection activeCell="C29" sqref="C29:I2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6" t="s">
        <v>231</v>
      </c>
      <c r="B1" s="46"/>
      <c r="C1" s="46"/>
      <c r="D1" s="46"/>
      <c r="E1" s="46"/>
      <c r="F1" s="46"/>
      <c r="G1" s="46"/>
      <c r="H1" s="46"/>
      <c r="I1" s="46"/>
      <c r="J1" s="46"/>
      <c r="K1" s="46"/>
    </row>
    <row r="2" spans="1:15" ht="21.75" customHeight="1" x14ac:dyDescent="0.3">
      <c r="B2" s="4" t="s">
        <v>205</v>
      </c>
      <c r="C2" s="43" t="s">
        <v>346</v>
      </c>
      <c r="D2" s="43"/>
      <c r="E2" s="43"/>
      <c r="F2" s="43"/>
      <c r="G2" s="43"/>
      <c r="H2" s="43"/>
      <c r="I2" s="44"/>
      <c r="J2" s="45"/>
      <c r="K2" s="45"/>
      <c r="L2" s="10"/>
      <c r="M2" s="10"/>
      <c r="N2" s="10"/>
      <c r="O2" s="10"/>
    </row>
    <row r="3" spans="1:15" ht="21.75" customHeight="1" x14ac:dyDescent="0.3">
      <c r="A3" s="11" t="s">
        <v>169</v>
      </c>
      <c r="B3" s="4" t="s">
        <v>23</v>
      </c>
      <c r="C3" s="43" t="s">
        <v>527</v>
      </c>
      <c r="D3" s="43"/>
      <c r="E3" s="43"/>
      <c r="F3" s="43"/>
      <c r="G3" s="43"/>
      <c r="H3" s="43"/>
      <c r="I3" s="44"/>
      <c r="J3" s="45" t="s">
        <v>226</v>
      </c>
      <c r="K3" s="45"/>
      <c r="L3" s="10"/>
      <c r="M3" s="10"/>
      <c r="N3" s="10"/>
      <c r="O3" s="10"/>
    </row>
    <row r="4" spans="1:15" ht="156.75" customHeight="1" x14ac:dyDescent="0.3">
      <c r="B4" s="4" t="s">
        <v>230</v>
      </c>
      <c r="C4" s="47" t="s">
        <v>528</v>
      </c>
      <c r="D4" s="43"/>
      <c r="E4" s="43"/>
      <c r="F4" s="43"/>
      <c r="G4" s="43"/>
      <c r="H4" s="43"/>
      <c r="I4" s="44"/>
      <c r="J4" s="45"/>
      <c r="K4" s="45"/>
      <c r="L4" s="10"/>
      <c r="M4" s="10"/>
      <c r="N4" s="10"/>
      <c r="O4" s="10"/>
    </row>
    <row r="5" spans="1:15" ht="21.75" customHeight="1" x14ac:dyDescent="0.3">
      <c r="A5" s="11" t="s">
        <v>188</v>
      </c>
      <c r="B5" s="4" t="s">
        <v>184</v>
      </c>
      <c r="C5" s="43" t="str">
        <f>VLOOKUP($C$2,통합!A2:J52,2,FALSE)</f>
        <v>20.정보통신</v>
      </c>
      <c r="D5" s="43"/>
      <c r="E5" s="43"/>
      <c r="F5" s="43"/>
      <c r="G5" s="43"/>
      <c r="H5" s="43"/>
      <c r="I5" s="44"/>
      <c r="J5" s="45"/>
      <c r="K5" s="45"/>
      <c r="L5" s="10"/>
      <c r="M5" s="10"/>
      <c r="N5" s="10"/>
      <c r="O5" s="10"/>
    </row>
    <row r="6" spans="1:15" ht="21.75" customHeight="1" x14ac:dyDescent="0.3">
      <c r="A6" s="11" t="s">
        <v>189</v>
      </c>
      <c r="B6" s="4" t="s">
        <v>185</v>
      </c>
      <c r="C6" s="43" t="str">
        <f>VLOOKUP($C$2,통합!A2:J52,3,FALSE)</f>
        <v>01.정보기술</v>
      </c>
      <c r="D6" s="43"/>
      <c r="E6" s="43"/>
      <c r="F6" s="43"/>
      <c r="G6" s="43"/>
      <c r="H6" s="43"/>
      <c r="I6" s="44"/>
      <c r="J6" s="45"/>
      <c r="K6" s="45"/>
      <c r="L6" s="10"/>
      <c r="M6" s="10"/>
      <c r="N6" s="10"/>
      <c r="O6" s="10"/>
    </row>
    <row r="7" spans="1:15" ht="21.75" customHeight="1" x14ac:dyDescent="0.3">
      <c r="A7" s="11" t="s">
        <v>190</v>
      </c>
      <c r="B7" s="4" t="s">
        <v>186</v>
      </c>
      <c r="C7" s="43" t="str">
        <f>VLOOKUP($C$2,통합!A2:J52,4,FALSE)</f>
        <v xml:space="preserve">07.인공지능 </v>
      </c>
      <c r="D7" s="43"/>
      <c r="E7" s="43"/>
      <c r="F7" s="43"/>
      <c r="G7" s="43"/>
      <c r="H7" s="43"/>
      <c r="I7" s="44"/>
      <c r="J7" s="45"/>
      <c r="K7" s="45"/>
      <c r="L7" s="10"/>
      <c r="M7" s="10"/>
      <c r="N7" s="10"/>
      <c r="O7" s="10"/>
    </row>
    <row r="8" spans="1:15" ht="21.75" customHeight="1" x14ac:dyDescent="0.3">
      <c r="A8" s="11" t="s">
        <v>191</v>
      </c>
      <c r="B8" s="4" t="s">
        <v>187</v>
      </c>
      <c r="C8" s="43" t="str">
        <f>VLOOKUP($C$2,통합!A2:J52,8,FALSE)&amp;"."&amp;VLOOKUP($C$2,통합!A2:J52,9,FALSE)</f>
        <v>05.프롬프트 구현</v>
      </c>
      <c r="D8" s="43"/>
      <c r="E8" s="43"/>
      <c r="F8" s="43"/>
      <c r="G8" s="43"/>
      <c r="H8" s="43"/>
      <c r="I8" s="44"/>
      <c r="J8" s="45"/>
      <c r="K8" s="45"/>
      <c r="L8" s="10"/>
      <c r="M8" s="10"/>
      <c r="N8" s="10"/>
      <c r="O8" s="10"/>
    </row>
    <row r="9" spans="1:15" ht="21.75" customHeight="1" x14ac:dyDescent="0.3">
      <c r="A9" s="11" t="s">
        <v>210</v>
      </c>
      <c r="B9" s="4" t="s">
        <v>176</v>
      </c>
      <c r="C9" s="43" t="str">
        <f>VLOOKUP($C$2,통합!A2:J52,7,FALSE)</f>
        <v>2001070705_25v1</v>
      </c>
      <c r="D9" s="43"/>
      <c r="E9" s="43"/>
      <c r="F9" s="43"/>
      <c r="G9" s="43"/>
      <c r="H9" s="43"/>
      <c r="I9" s="44"/>
      <c r="J9" s="45"/>
      <c r="K9" s="45"/>
      <c r="L9" s="10"/>
      <c r="M9" s="10"/>
      <c r="N9" s="10"/>
      <c r="O9" s="10"/>
    </row>
    <row r="10" spans="1:15" ht="21.75" customHeight="1" x14ac:dyDescent="0.3">
      <c r="A10" s="11" t="s">
        <v>208</v>
      </c>
      <c r="B10" s="4" t="s">
        <v>24</v>
      </c>
      <c r="C10" s="43">
        <f>VLOOKUP($C$2,통합!A2:J52,6,FALSE)</f>
        <v>5</v>
      </c>
      <c r="D10" s="43"/>
      <c r="E10" s="43"/>
      <c r="F10" s="43"/>
      <c r="G10" s="43"/>
      <c r="H10" s="43"/>
      <c r="I10" s="44"/>
      <c r="J10" s="45"/>
      <c r="K10" s="45"/>
      <c r="L10" s="10"/>
      <c r="M10" s="10"/>
      <c r="N10" s="10"/>
      <c r="O10" s="10"/>
    </row>
    <row r="11" spans="1:15" ht="21.75" customHeight="1" x14ac:dyDescent="0.3">
      <c r="A11" s="11" t="s">
        <v>174</v>
      </c>
      <c r="B11" s="4" t="s">
        <v>15</v>
      </c>
      <c r="C11" s="48" t="str">
        <f>F78&amp;"시간( "&amp;K131&amp;"일)"</f>
        <v>1시간( 1일)</v>
      </c>
      <c r="D11" s="48"/>
      <c r="E11" s="48"/>
      <c r="F11" s="48"/>
      <c r="G11" s="48"/>
      <c r="H11" s="48"/>
      <c r="I11" s="49"/>
      <c r="J11" s="18" t="s">
        <v>175</v>
      </c>
      <c r="K11" s="18"/>
      <c r="L11" s="10"/>
      <c r="M11" s="10"/>
      <c r="N11" s="10"/>
      <c r="O11" s="10"/>
    </row>
    <row r="12" spans="1:15" ht="28.5" customHeight="1" x14ac:dyDescent="0.3">
      <c r="A12" s="50" t="s">
        <v>232</v>
      </c>
      <c r="B12" s="50"/>
      <c r="C12" s="50"/>
      <c r="D12" s="50"/>
      <c r="E12" s="50"/>
      <c r="F12" s="50"/>
      <c r="G12" s="50"/>
      <c r="H12" s="50"/>
      <c r="I12" s="50"/>
      <c r="J12" s="50"/>
      <c r="K12" s="51"/>
      <c r="L12" s="10"/>
      <c r="M12" s="10"/>
      <c r="N12" s="10"/>
      <c r="O12" s="10"/>
    </row>
    <row r="13" spans="1:15" ht="21.75" customHeight="1" x14ac:dyDescent="0.3">
      <c r="A13" s="11" t="s">
        <v>172</v>
      </c>
      <c r="B13" s="4" t="s">
        <v>21</v>
      </c>
      <c r="C13" s="43" t="s">
        <v>566</v>
      </c>
      <c r="D13" s="43"/>
      <c r="E13" s="43"/>
      <c r="F13" s="43"/>
      <c r="G13" s="43"/>
      <c r="H13" s="43"/>
      <c r="I13" s="44"/>
      <c r="J13" s="45" t="s">
        <v>37</v>
      </c>
      <c r="K13" s="45"/>
      <c r="L13" s="10"/>
      <c r="M13" s="10"/>
      <c r="N13" s="10"/>
      <c r="O13" s="10"/>
    </row>
    <row r="14" spans="1:15" ht="21.75" customHeight="1" x14ac:dyDescent="0.3">
      <c r="A14" s="11" t="s">
        <v>222</v>
      </c>
      <c r="B14" s="4" t="s">
        <v>223</v>
      </c>
      <c r="C14" s="43" t="s">
        <v>650</v>
      </c>
      <c r="D14" s="43"/>
      <c r="E14" s="43"/>
      <c r="F14" s="43"/>
      <c r="G14" s="43"/>
      <c r="H14" s="43"/>
      <c r="I14" s="44"/>
      <c r="J14" s="45" t="s">
        <v>224</v>
      </c>
      <c r="K14" s="45"/>
      <c r="L14" s="10"/>
      <c r="M14" s="10"/>
      <c r="N14" s="10"/>
      <c r="O14" s="10"/>
    </row>
    <row r="15" spans="1:15" ht="21.75" customHeight="1" x14ac:dyDescent="0.3">
      <c r="A15" s="11" t="s">
        <v>182</v>
      </c>
      <c r="B15" s="4" t="s">
        <v>178</v>
      </c>
      <c r="C15" s="43" t="s">
        <v>535</v>
      </c>
      <c r="D15" s="43"/>
      <c r="E15" s="43"/>
      <c r="F15" s="43"/>
      <c r="G15" s="43"/>
      <c r="H15" s="43"/>
      <c r="I15" s="44"/>
      <c r="J15" s="45" t="s">
        <v>177</v>
      </c>
      <c r="K15" s="45"/>
      <c r="L15" s="10"/>
      <c r="M15" s="10"/>
      <c r="N15" s="10"/>
      <c r="O15" s="10"/>
    </row>
    <row r="16" spans="1:15" ht="21.75" customHeight="1" x14ac:dyDescent="0.3">
      <c r="A16" s="11" t="s">
        <v>181</v>
      </c>
      <c r="B16" s="4" t="s">
        <v>179</v>
      </c>
      <c r="C16" s="43" t="s">
        <v>567</v>
      </c>
      <c r="D16" s="43"/>
      <c r="E16" s="43"/>
      <c r="F16" s="43"/>
      <c r="G16" s="43"/>
      <c r="H16" s="43"/>
      <c r="I16" s="44"/>
      <c r="J16" s="45" t="s">
        <v>180</v>
      </c>
      <c r="K16" s="45"/>
      <c r="L16" s="10"/>
      <c r="M16" s="10"/>
      <c r="N16" s="10"/>
      <c r="O16" s="10"/>
    </row>
    <row r="17" spans="1:15" ht="48.75" customHeight="1" x14ac:dyDescent="0.3">
      <c r="A17" s="11" t="s">
        <v>171</v>
      </c>
      <c r="B17" s="4" t="s">
        <v>206</v>
      </c>
      <c r="C17" s="43" t="s">
        <v>568</v>
      </c>
      <c r="D17" s="43"/>
      <c r="E17" s="43"/>
      <c r="F17" s="43"/>
      <c r="G17" s="43"/>
      <c r="H17" s="43"/>
      <c r="I17" s="44"/>
      <c r="J17" s="45" t="s">
        <v>170</v>
      </c>
      <c r="K17" s="45"/>
      <c r="L17" s="10"/>
      <c r="M17" s="10"/>
      <c r="N17" s="10"/>
      <c r="O17" s="10"/>
    </row>
    <row r="18" spans="1:15" ht="48.75" customHeight="1" x14ac:dyDescent="0.3">
      <c r="A18" s="11" t="s">
        <v>183</v>
      </c>
      <c r="B18" s="4" t="s">
        <v>207</v>
      </c>
      <c r="C18" s="43" t="s">
        <v>569</v>
      </c>
      <c r="D18" s="43"/>
      <c r="E18" s="43"/>
      <c r="F18" s="43"/>
      <c r="G18" s="43"/>
      <c r="H18" s="43"/>
      <c r="I18" s="44"/>
      <c r="J18" s="45" t="s">
        <v>170</v>
      </c>
      <c r="K18" s="45"/>
      <c r="L18" s="10"/>
      <c r="M18" s="10"/>
      <c r="N18" s="10"/>
      <c r="O18" s="10"/>
    </row>
    <row r="19" spans="1:15" ht="44.25" customHeight="1" x14ac:dyDescent="0.3">
      <c r="A19" s="11" t="s">
        <v>209</v>
      </c>
      <c r="B19" s="4" t="s">
        <v>22</v>
      </c>
      <c r="C19" s="47" t="s">
        <v>570</v>
      </c>
      <c r="D19" s="43"/>
      <c r="E19" s="43"/>
      <c r="F19" s="43"/>
      <c r="G19" s="43"/>
      <c r="H19" s="43"/>
      <c r="I19" s="44"/>
      <c r="J19" s="45" t="s">
        <v>39</v>
      </c>
      <c r="K19" s="45"/>
      <c r="L19" s="10"/>
      <c r="M19" s="10"/>
      <c r="N19" s="10"/>
      <c r="O19" s="10"/>
    </row>
    <row r="20" spans="1:15" ht="28.5" customHeight="1" x14ac:dyDescent="0.3">
      <c r="A20" s="11" t="s">
        <v>212</v>
      </c>
      <c r="B20" s="4" t="s">
        <v>25</v>
      </c>
      <c r="C20" s="43" t="s">
        <v>571</v>
      </c>
      <c r="D20" s="43"/>
      <c r="E20" s="43"/>
      <c r="F20" s="43"/>
      <c r="G20" s="43"/>
      <c r="H20" s="43"/>
      <c r="I20" s="44"/>
      <c r="J20" s="45" t="s">
        <v>40</v>
      </c>
      <c r="K20" s="45"/>
      <c r="L20" s="10"/>
      <c r="M20" s="10"/>
      <c r="N20" s="10"/>
      <c r="O20" s="10"/>
    </row>
    <row r="21" spans="1:15" ht="78" customHeight="1" x14ac:dyDescent="0.3">
      <c r="A21" s="11" t="s">
        <v>213</v>
      </c>
      <c r="B21" s="4" t="s">
        <v>27</v>
      </c>
      <c r="C21" s="47" t="s">
        <v>652</v>
      </c>
      <c r="D21" s="43"/>
      <c r="E21" s="43"/>
      <c r="F21" s="43"/>
      <c r="G21" s="43"/>
      <c r="H21" s="43"/>
      <c r="I21" s="44"/>
      <c r="J21" s="45" t="s">
        <v>41</v>
      </c>
      <c r="K21" s="45"/>
      <c r="L21" s="10"/>
      <c r="M21" s="10"/>
      <c r="N21" s="10"/>
      <c r="O21" s="10"/>
    </row>
    <row r="22" spans="1:15" ht="62.25" customHeight="1" x14ac:dyDescent="0.3">
      <c r="A22" s="11" t="s">
        <v>214</v>
      </c>
      <c r="B22" s="52" t="s">
        <v>28</v>
      </c>
      <c r="C22" s="47" t="s">
        <v>642</v>
      </c>
      <c r="D22" s="43"/>
      <c r="E22" s="43"/>
      <c r="F22" s="43"/>
      <c r="G22" s="43"/>
      <c r="H22" s="43"/>
      <c r="I22" s="44"/>
      <c r="J22" s="45" t="s">
        <v>217</v>
      </c>
      <c r="K22" s="45"/>
      <c r="L22" s="10"/>
      <c r="M22" s="10"/>
      <c r="N22" s="10"/>
      <c r="O22" s="10"/>
    </row>
    <row r="23" spans="1:15" ht="62.25" customHeight="1" x14ac:dyDescent="0.3">
      <c r="A23" s="11" t="s">
        <v>215</v>
      </c>
      <c r="B23" s="52"/>
      <c r="C23" s="47" t="s">
        <v>653</v>
      </c>
      <c r="D23" s="43"/>
      <c r="E23" s="43"/>
      <c r="F23" s="43"/>
      <c r="G23" s="43"/>
      <c r="H23" s="43"/>
      <c r="I23" s="44"/>
      <c r="J23" s="45" t="s">
        <v>218</v>
      </c>
      <c r="K23" s="45"/>
      <c r="L23" s="10"/>
      <c r="M23" s="10"/>
      <c r="N23" s="10"/>
      <c r="O23" s="10"/>
    </row>
    <row r="24" spans="1:15" ht="62.25" customHeight="1" x14ac:dyDescent="0.3">
      <c r="A24" s="11" t="s">
        <v>216</v>
      </c>
      <c r="B24" s="52"/>
      <c r="C24" s="47" t="s">
        <v>643</v>
      </c>
      <c r="D24" s="43"/>
      <c r="E24" s="43"/>
      <c r="F24" s="43"/>
      <c r="G24" s="43"/>
      <c r="H24" s="43"/>
      <c r="I24" s="44"/>
      <c r="J24" s="45" t="s">
        <v>219</v>
      </c>
      <c r="K24" s="45"/>
      <c r="L24" s="10"/>
      <c r="M24" s="10"/>
      <c r="N24" s="10"/>
      <c r="O24" s="10"/>
    </row>
    <row r="25" spans="1:15" ht="83.25" customHeight="1" x14ac:dyDescent="0.3">
      <c r="A25" s="11" t="s">
        <v>220</v>
      </c>
      <c r="B25" s="6" t="s">
        <v>29</v>
      </c>
      <c r="C25" s="47" t="s">
        <v>572</v>
      </c>
      <c r="D25" s="43"/>
      <c r="E25" s="43"/>
      <c r="F25" s="43"/>
      <c r="G25" s="43"/>
      <c r="H25" s="43"/>
      <c r="I25" s="44"/>
      <c r="J25" s="45" t="s">
        <v>45</v>
      </c>
      <c r="K25" s="45"/>
      <c r="L25" s="10"/>
      <c r="M25" s="10"/>
      <c r="N25" s="10"/>
      <c r="O25" s="10"/>
    </row>
    <row r="26" spans="1:15" ht="47.25" customHeight="1" x14ac:dyDescent="0.3">
      <c r="A26" s="11" t="s">
        <v>225</v>
      </c>
      <c r="B26" s="6" t="s">
        <v>46</v>
      </c>
      <c r="C26" s="47" t="s">
        <v>651</v>
      </c>
      <c r="D26" s="43"/>
      <c r="E26" s="43"/>
      <c r="F26" s="43"/>
      <c r="G26" s="43"/>
      <c r="H26" s="43"/>
      <c r="I26" s="44"/>
      <c r="J26" s="45" t="s">
        <v>519</v>
      </c>
      <c r="K26" s="45"/>
      <c r="L26" s="10"/>
      <c r="M26" s="10"/>
      <c r="N26" s="10"/>
      <c r="O26" s="10"/>
    </row>
    <row r="27" spans="1:15" ht="29.25" customHeight="1" x14ac:dyDescent="0.3">
      <c r="A27" s="11" t="s">
        <v>221</v>
      </c>
      <c r="B27" s="4" t="s">
        <v>26</v>
      </c>
      <c r="C27" s="43" t="s">
        <v>48</v>
      </c>
      <c r="D27" s="43"/>
      <c r="E27" s="43"/>
      <c r="F27" s="43"/>
      <c r="G27" s="43"/>
      <c r="H27" s="43"/>
      <c r="I27" s="44"/>
      <c r="J27" s="45" t="s">
        <v>48</v>
      </c>
      <c r="K27" s="45"/>
      <c r="L27" s="10"/>
      <c r="M27" s="10"/>
      <c r="N27" s="10"/>
      <c r="O27" s="10"/>
    </row>
    <row r="28" spans="1:15" ht="218.25" customHeight="1" x14ac:dyDescent="0.3">
      <c r="A28" s="11" t="s">
        <v>739</v>
      </c>
      <c r="B28" s="41" t="s">
        <v>227</v>
      </c>
      <c r="C28" s="53" t="s">
        <v>573</v>
      </c>
      <c r="D28" s="54"/>
      <c r="E28" s="54"/>
      <c r="F28" s="54"/>
      <c r="G28" s="54"/>
      <c r="H28" s="54"/>
      <c r="I28" s="55"/>
      <c r="J28" s="45" t="s">
        <v>228</v>
      </c>
      <c r="K28" s="45"/>
      <c r="L28" s="10"/>
      <c r="M28" s="10"/>
      <c r="N28" s="10"/>
      <c r="O28" s="10"/>
    </row>
    <row r="29" spans="1:15" ht="218.25" customHeight="1" x14ac:dyDescent="0.3">
      <c r="A29" s="11" t="s">
        <v>740</v>
      </c>
      <c r="B29" s="77" t="s">
        <v>741</v>
      </c>
      <c r="C29" s="47"/>
      <c r="D29" s="43"/>
      <c r="E29" s="43"/>
      <c r="F29" s="43"/>
      <c r="G29" s="43"/>
      <c r="H29" s="43"/>
      <c r="I29" s="44"/>
      <c r="J29" s="45" t="s">
        <v>742</v>
      </c>
      <c r="K29" s="45"/>
      <c r="L29" s="10"/>
      <c r="M29" s="10"/>
      <c r="N29" s="10"/>
      <c r="O29" s="10"/>
    </row>
    <row r="30" spans="1:15" ht="218.25" customHeight="1" x14ac:dyDescent="0.3">
      <c r="A30" s="11" t="s">
        <v>743</v>
      </c>
      <c r="B30" s="77" t="s">
        <v>744</v>
      </c>
      <c r="C30" s="47"/>
      <c r="D30" s="43"/>
      <c r="E30" s="43"/>
      <c r="F30" s="43"/>
      <c r="G30" s="43"/>
      <c r="H30" s="43"/>
      <c r="I30" s="44"/>
      <c r="J30" s="45" t="s">
        <v>745</v>
      </c>
      <c r="K30" s="45"/>
      <c r="L30" s="10"/>
      <c r="M30" s="10"/>
      <c r="N30" s="10"/>
      <c r="O30" s="10"/>
    </row>
    <row r="31" spans="1:15" ht="29.25" customHeight="1" x14ac:dyDescent="0.3">
      <c r="A31" s="15" t="s">
        <v>495</v>
      </c>
      <c r="B31" s="33" t="s">
        <v>496</v>
      </c>
      <c r="C31" s="43" t="str">
        <f>F78&amp;"시간 (100%)"</f>
        <v>1시간 (100%)</v>
      </c>
      <c r="D31" s="43"/>
      <c r="E31" s="43"/>
      <c r="F31" s="43"/>
      <c r="G31" s="43"/>
      <c r="H31" s="43"/>
      <c r="I31" s="43"/>
      <c r="J31" s="40"/>
      <c r="K31" s="40"/>
      <c r="L31" s="10"/>
      <c r="M31" s="10"/>
      <c r="N31" s="10"/>
      <c r="O31" s="10"/>
    </row>
    <row r="32" spans="1:15" ht="22.5" customHeight="1" x14ac:dyDescent="0.3">
      <c r="A32" s="15" t="s">
        <v>499</v>
      </c>
      <c r="B32" s="33" t="s">
        <v>497</v>
      </c>
      <c r="C32" s="43">
        <f>COUNTA(G82:G90)</f>
        <v>1</v>
      </c>
      <c r="D32" s="43"/>
      <c r="E32" s="43"/>
      <c r="F32" s="43"/>
      <c r="G32" s="43"/>
      <c r="H32" s="43"/>
      <c r="I32" s="43"/>
      <c r="J32" s="56"/>
      <c r="K32" s="57"/>
    </row>
    <row r="33" spans="1:11" ht="22.5" customHeight="1" x14ac:dyDescent="0.3">
      <c r="A33" s="15" t="s">
        <v>500</v>
      </c>
      <c r="B33" s="33" t="s">
        <v>498</v>
      </c>
      <c r="C33" s="43">
        <f>COUNTA(G92:G100)</f>
        <v>0</v>
      </c>
      <c r="D33" s="43"/>
      <c r="E33" s="43"/>
      <c r="F33" s="43"/>
      <c r="G33" s="43"/>
      <c r="H33" s="43"/>
      <c r="I33" s="43"/>
      <c r="J33" s="56"/>
      <c r="K33" s="57"/>
    </row>
    <row r="34" spans="1:11" ht="22.5" customHeight="1" x14ac:dyDescent="0.3">
      <c r="A34" s="15" t="s">
        <v>504</v>
      </c>
      <c r="B34" s="33" t="s">
        <v>501</v>
      </c>
      <c r="C34" s="43">
        <f>COUNTA(G102:G110)</f>
        <v>0</v>
      </c>
      <c r="D34" s="43"/>
      <c r="E34" s="43"/>
      <c r="F34" s="43"/>
      <c r="G34" s="43"/>
      <c r="H34" s="43"/>
      <c r="I34" s="43"/>
      <c r="J34" s="56"/>
      <c r="K34" s="57"/>
    </row>
    <row r="35" spans="1:11" ht="22.5" customHeight="1" x14ac:dyDescent="0.3">
      <c r="A35" s="15" t="s">
        <v>505</v>
      </c>
      <c r="B35" s="33" t="s">
        <v>502</v>
      </c>
      <c r="C35" s="43">
        <f>COUNTA(G112:G120)</f>
        <v>0</v>
      </c>
      <c r="D35" s="43"/>
      <c r="E35" s="43"/>
      <c r="F35" s="43"/>
      <c r="G35" s="43"/>
      <c r="H35" s="43"/>
      <c r="I35" s="43"/>
      <c r="J35" s="56"/>
      <c r="K35" s="57"/>
    </row>
    <row r="36" spans="1:11" ht="22.5" customHeight="1" x14ac:dyDescent="0.3">
      <c r="A36" s="15" t="s">
        <v>506</v>
      </c>
      <c r="B36" s="33" t="s">
        <v>503</v>
      </c>
      <c r="C36" s="43">
        <f>COUNTA(G122:G130)</f>
        <v>0</v>
      </c>
      <c r="D36" s="43"/>
      <c r="E36" s="43"/>
      <c r="F36" s="43"/>
      <c r="G36" s="43"/>
      <c r="H36" s="43"/>
      <c r="I36" s="43"/>
      <c r="J36" s="56"/>
      <c r="K36" s="57"/>
    </row>
    <row r="37" spans="1:11" ht="69" customHeight="1" x14ac:dyDescent="0.3">
      <c r="A37" s="11" t="s">
        <v>507</v>
      </c>
      <c r="B37" s="33" t="s">
        <v>514</v>
      </c>
      <c r="C37" s="43" t="str">
        <f>K82</f>
        <v>AI 워크플로우 도구(Opal, n8n, Google AI Studio)의 개념과 특성을 비교·이해한 후, 의료기기 업무 프로세스를 분석하여 AI 워크플로우를 설계하는 방법론을 학습한다. Opal을 활용한 Google 서비스 기반 업무 자동화, n8n을 활용한 AI 업무자동화 워크플로우 설계, Google AI Studio를 활용한 멀티모달 AI 앱 개발을 단계별로 실습한다. 최종적으로 의료기기 업무에 특화된 통합 AI 워크플로우를 직접 구축하는 프로젝트를 수행하고 결과를 발표하여 업무 프로세스 혁신 역량을 함양한다.</v>
      </c>
      <c r="D37" s="43"/>
      <c r="E37" s="43"/>
      <c r="F37" s="43"/>
      <c r="G37" s="43"/>
      <c r="H37" s="43"/>
      <c r="I37" s="43"/>
      <c r="J37" s="56"/>
      <c r="K37" s="57"/>
    </row>
    <row r="38" spans="1:11" ht="69" customHeight="1" x14ac:dyDescent="0.3">
      <c r="A38" s="11" t="s">
        <v>508</v>
      </c>
      <c r="B38" s="33" t="s">
        <v>515</v>
      </c>
      <c r="C38" s="43">
        <f>K92</f>
        <v>0</v>
      </c>
      <c r="D38" s="43"/>
      <c r="E38" s="43"/>
      <c r="F38" s="43"/>
      <c r="G38" s="43"/>
      <c r="H38" s="43"/>
      <c r="I38" s="43"/>
      <c r="J38" s="56"/>
      <c r="K38" s="57"/>
    </row>
    <row r="39" spans="1:11" ht="69" customHeight="1" x14ac:dyDescent="0.3">
      <c r="A39" s="11" t="s">
        <v>509</v>
      </c>
      <c r="B39" s="33" t="s">
        <v>516</v>
      </c>
      <c r="C39" s="43">
        <f>K102</f>
        <v>0</v>
      </c>
      <c r="D39" s="43"/>
      <c r="E39" s="43"/>
      <c r="F39" s="43"/>
      <c r="G39" s="43"/>
      <c r="H39" s="43"/>
      <c r="I39" s="43"/>
      <c r="J39" s="56"/>
      <c r="K39" s="57"/>
    </row>
    <row r="40" spans="1:11" ht="69" customHeight="1" x14ac:dyDescent="0.3">
      <c r="A40" s="11" t="s">
        <v>510</v>
      </c>
      <c r="B40" s="33" t="s">
        <v>517</v>
      </c>
      <c r="C40" s="43">
        <f>K112</f>
        <v>0</v>
      </c>
      <c r="D40" s="43"/>
      <c r="E40" s="43"/>
      <c r="F40" s="43"/>
      <c r="G40" s="43"/>
      <c r="H40" s="43"/>
      <c r="I40" s="43"/>
      <c r="J40" s="56"/>
      <c r="K40" s="57"/>
    </row>
    <row r="41" spans="1:11" ht="69" customHeight="1" x14ac:dyDescent="0.3">
      <c r="A41" s="11" t="s">
        <v>511</v>
      </c>
      <c r="B41" s="33" t="s">
        <v>518</v>
      </c>
      <c r="C41" s="43">
        <f>K122</f>
        <v>0</v>
      </c>
      <c r="D41" s="43"/>
      <c r="E41" s="43"/>
      <c r="F41" s="43"/>
      <c r="G41" s="43"/>
      <c r="H41" s="43"/>
      <c r="I41" s="43"/>
      <c r="J41" s="56"/>
      <c r="K41" s="57"/>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f>VLOOKUP(J46,통합!$A$2:$I$43,6,FALSE)</f>
        <v>4</v>
      </c>
      <c r="E46" s="31" t="str">
        <f>VLOOKUP(J46,통합!$A$2:$I$43,8,FALSE)</f>
        <v>01</v>
      </c>
      <c r="F46" s="8">
        <f>IF(COUNTIF($D$81:$D$130,D46)=0,"",COUNTIF($D$81:$D$130,D46))</f>
        <v>1</v>
      </c>
      <c r="G46" s="13" t="s">
        <v>50</v>
      </c>
      <c r="H46" s="13" t="s">
        <v>51</v>
      </c>
      <c r="I46" s="8">
        <f>IF(COUNTIF($G$81:$G$130,G46)=0,"",COUNTIF($G$81:$G$130,G46))</f>
        <v>1</v>
      </c>
      <c r="J46" s="11" t="s">
        <v>211</v>
      </c>
    </row>
    <row r="47" spans="1:11" ht="22.5" customHeight="1" x14ac:dyDescent="0.3">
      <c r="C47" s="9">
        <f t="shared" ref="C47:C77" si="0">IFERROR(G47,"")</f>
        <v>0</v>
      </c>
      <c r="D47" s="31"/>
      <c r="E47" s="31"/>
      <c r="F47" s="8" t="str">
        <f t="shared" ref="F47:F77" si="1">IF(COUNTIF($D$81:$D$130,D47)=0,"",COUNTIF($D$81:$D$130,D47))</f>
        <v/>
      </c>
      <c r="G47" s="13"/>
      <c r="H47" s="13"/>
      <c r="I47" s="8" t="str">
        <f t="shared" ref="I47:I77" si="2">IF(COUNTIF($G$81:$G$130,G47)=0,"",COUNTIF($G$81:$G$130,G47))</f>
        <v/>
      </c>
    </row>
    <row r="48" spans="1:11" ht="22.5" customHeight="1" x14ac:dyDescent="0.3">
      <c r="C48" s="9">
        <f t="shared" si="0"/>
        <v>0</v>
      </c>
      <c r="D48" s="31"/>
      <c r="E48" s="31"/>
      <c r="F48" s="8" t="str">
        <f t="shared" si="1"/>
        <v/>
      </c>
      <c r="G48" s="14"/>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 t="shared" si="2"/>
        <v/>
      </c>
    </row>
    <row r="65" spans="3:9" ht="22.5" customHeight="1" x14ac:dyDescent="0.3">
      <c r="C65" s="9">
        <f t="shared" si="0"/>
        <v>0</v>
      </c>
      <c r="D65" s="31"/>
      <c r="E65" s="31"/>
      <c r="F65" s="8" t="str">
        <f t="shared" si="1"/>
        <v/>
      </c>
      <c r="G65" s="13"/>
      <c r="H65" s="13"/>
      <c r="I65" s="8" t="str">
        <f t="shared" si="2"/>
        <v/>
      </c>
    </row>
    <row r="66" spans="3:9" ht="22.5" customHeight="1" x14ac:dyDescent="0.3">
      <c r="C66" s="9">
        <f t="shared" si="0"/>
        <v>0</v>
      </c>
      <c r="D66" s="31"/>
      <c r="E66" s="31"/>
      <c r="F66" s="8" t="str">
        <f t="shared" si="1"/>
        <v/>
      </c>
      <c r="G66" s="13"/>
      <c r="H66" s="13"/>
      <c r="I66" s="8" t="str">
        <f>IF(COUNTIF($G$81:$G$130,#REF!)=0,"",COUNTIF($G$81:$G$130,#REF!))</f>
        <v/>
      </c>
    </row>
    <row r="67" spans="3:9" ht="22.5" customHeight="1" x14ac:dyDescent="0.3">
      <c r="C67" s="9">
        <f t="shared" si="0"/>
        <v>0</v>
      </c>
      <c r="D67" s="31"/>
      <c r="E67" s="31"/>
      <c r="F67" s="8" t="str">
        <f t="shared" si="1"/>
        <v/>
      </c>
      <c r="H67" s="13"/>
      <c r="I67" s="8" t="str">
        <f>IF(COUNTIF($G$81:$G$130,G66)=0,"",COUNTIF($G$81:$G$130,G66))</f>
        <v/>
      </c>
    </row>
    <row r="68" spans="3:9" ht="22.5" customHeight="1" x14ac:dyDescent="0.3">
      <c r="C68" s="9">
        <f t="shared" si="0"/>
        <v>0</v>
      </c>
      <c r="D68" s="31"/>
      <c r="E68" s="31"/>
      <c r="F68" s="8" t="str">
        <f t="shared" si="1"/>
        <v/>
      </c>
      <c r="G68" s="13"/>
      <c r="H68" s="13"/>
      <c r="I68" s="8" t="str">
        <f t="shared" si="2"/>
        <v/>
      </c>
    </row>
    <row r="69" spans="3:9" ht="22.5" customHeight="1" x14ac:dyDescent="0.3">
      <c r="C69" s="9">
        <f t="shared" si="0"/>
        <v>0</v>
      </c>
      <c r="D69" s="31"/>
      <c r="E69" s="31"/>
      <c r="F69" s="8" t="str">
        <f t="shared" si="1"/>
        <v/>
      </c>
      <c r="G69" s="13"/>
      <c r="H69" s="13"/>
      <c r="I69" s="8" t="str">
        <f t="shared" si="2"/>
        <v/>
      </c>
    </row>
    <row r="70" spans="3:9" ht="22.5" customHeight="1" x14ac:dyDescent="0.3">
      <c r="C70" s="9">
        <f t="shared" si="0"/>
        <v>0</v>
      </c>
      <c r="D70" s="31"/>
      <c r="E70" s="31"/>
      <c r="F70" s="8" t="str">
        <f t="shared" si="1"/>
        <v/>
      </c>
      <c r="G70" s="13"/>
      <c r="H70" s="13"/>
      <c r="I70" s="8" t="str">
        <f t="shared" si="2"/>
        <v/>
      </c>
    </row>
    <row r="71" spans="3:9" ht="22.5" customHeight="1" x14ac:dyDescent="0.3">
      <c r="C71" s="9">
        <f t="shared" si="0"/>
        <v>0</v>
      </c>
      <c r="D71" s="31"/>
      <c r="E71" s="31"/>
      <c r="F71" s="8" t="str">
        <f t="shared" si="1"/>
        <v/>
      </c>
      <c r="G71" s="13"/>
      <c r="H71" s="13"/>
      <c r="I71" s="8" t="str">
        <f t="shared" si="2"/>
        <v/>
      </c>
    </row>
    <row r="72" spans="3:9" ht="22.5" customHeight="1" x14ac:dyDescent="0.3">
      <c r="C72" s="9">
        <f t="shared" si="0"/>
        <v>0</v>
      </c>
      <c r="D72" s="31"/>
      <c r="E72" s="31"/>
      <c r="F72" s="8" t="str">
        <f t="shared" si="1"/>
        <v/>
      </c>
      <c r="G72" s="13"/>
      <c r="H72" s="13"/>
      <c r="I72" s="8" t="str">
        <f t="shared" si="2"/>
        <v/>
      </c>
    </row>
    <row r="73" spans="3:9" ht="22.5" customHeight="1" x14ac:dyDescent="0.3">
      <c r="C73" s="9">
        <f t="shared" si="0"/>
        <v>0</v>
      </c>
      <c r="D73" s="31"/>
      <c r="E73" s="31"/>
      <c r="F73" s="8" t="str">
        <f t="shared" si="1"/>
        <v/>
      </c>
      <c r="G73" s="13"/>
      <c r="H73" s="13"/>
      <c r="I73" s="8" t="str">
        <f t="shared" si="2"/>
        <v/>
      </c>
    </row>
    <row r="74" spans="3:9" ht="22.5" customHeight="1" x14ac:dyDescent="0.3">
      <c r="C74" s="9">
        <f t="shared" si="0"/>
        <v>0</v>
      </c>
      <c r="D74" s="31"/>
      <c r="E74" s="31"/>
      <c r="F74" s="8" t="str">
        <f t="shared" si="1"/>
        <v/>
      </c>
      <c r="G74" s="13"/>
      <c r="H74" s="13"/>
      <c r="I74" s="8" t="str">
        <f t="shared" si="2"/>
        <v/>
      </c>
    </row>
    <row r="75" spans="3:9" ht="22.5" customHeight="1" x14ac:dyDescent="0.3">
      <c r="C75" s="9">
        <f t="shared" si="0"/>
        <v>0</v>
      </c>
      <c r="D75" s="31"/>
      <c r="E75" s="31"/>
      <c r="F75" s="8" t="str">
        <f t="shared" si="1"/>
        <v/>
      </c>
      <c r="G75" s="13"/>
      <c r="H75" s="13"/>
      <c r="I75" s="8" t="str">
        <f t="shared" si="2"/>
        <v/>
      </c>
    </row>
    <row r="76" spans="3:9" ht="22.5" customHeight="1" x14ac:dyDescent="0.3">
      <c r="C76" s="9">
        <f t="shared" si="0"/>
        <v>0</v>
      </c>
      <c r="D76" s="31"/>
      <c r="E76" s="31"/>
      <c r="F76" s="8" t="str">
        <f t="shared" si="1"/>
        <v/>
      </c>
      <c r="G76" s="13"/>
      <c r="H76" s="13"/>
      <c r="I76" s="8" t="str">
        <f t="shared" si="2"/>
        <v/>
      </c>
    </row>
    <row r="77" spans="3:9" ht="22.5" customHeight="1" x14ac:dyDescent="0.3">
      <c r="C77" s="9">
        <f t="shared" si="0"/>
        <v>0</v>
      </c>
      <c r="D77" s="32"/>
      <c r="E77" s="32"/>
      <c r="F77" s="29" t="str">
        <f t="shared" si="1"/>
        <v/>
      </c>
      <c r="G77" s="28"/>
      <c r="H77" s="28"/>
      <c r="I77" s="29" t="str">
        <f t="shared" si="2"/>
        <v/>
      </c>
    </row>
    <row r="78" spans="3:9" ht="22.5" customHeight="1" x14ac:dyDescent="0.3">
      <c r="C78" s="8" t="s">
        <v>173</v>
      </c>
      <c r="D78" s="13"/>
      <c r="E78" s="13"/>
      <c r="F78" s="30">
        <f>SUM(F46:F77)</f>
        <v>1</v>
      </c>
      <c r="G78" s="13"/>
      <c r="H78" s="13"/>
      <c r="I78" s="30">
        <f>SUM(I46:I77)</f>
        <v>1</v>
      </c>
    </row>
    <row r="79" spans="3:9" ht="22.5" customHeight="1" x14ac:dyDescent="0.3">
      <c r="C79" s="8"/>
      <c r="D79" s="13"/>
      <c r="E79" s="13"/>
      <c r="F79" s="8"/>
      <c r="G79" s="13"/>
      <c r="H79" s="13"/>
      <c r="I79" s="8"/>
    </row>
    <row r="80" spans="3:9" ht="22.5" customHeight="1" x14ac:dyDescent="0.3"/>
    <row r="81" spans="2:11" ht="22.5" customHeight="1" x14ac:dyDescent="0.3">
      <c r="B81" s="58" t="s">
        <v>9</v>
      </c>
      <c r="C81" s="5" t="s">
        <v>8</v>
      </c>
      <c r="D81" s="5" t="s">
        <v>10</v>
      </c>
      <c r="E81" s="61" t="s">
        <v>13</v>
      </c>
      <c r="F81" s="62"/>
      <c r="G81" s="12" t="s">
        <v>11</v>
      </c>
      <c r="H81" s="61" t="s">
        <v>12</v>
      </c>
      <c r="I81" s="62"/>
      <c r="J81" s="12" t="s">
        <v>14</v>
      </c>
      <c r="K81" s="12" t="s">
        <v>31</v>
      </c>
    </row>
    <row r="82" spans="2:11" ht="22.5" customHeight="1" x14ac:dyDescent="0.3">
      <c r="B82" s="59"/>
      <c r="C82" s="1" t="s">
        <v>0</v>
      </c>
      <c r="D82" s="8">
        <f>IF(VLOOKUP(G82,$C$46:$E$77,2,FALSE)="","",VLOOKUP(G82,$C$46:$E$77,2,FALSE))</f>
        <v>4</v>
      </c>
      <c r="E82" s="63" t="str">
        <f>IF(VLOOKUP(G82,$C$46:$E$77,3,FALSE)="","",VLOOKUP(G82,$C$46:$E$77,3,FALSE))</f>
        <v>01</v>
      </c>
      <c r="F82" s="64"/>
      <c r="G82" s="13" t="s">
        <v>50</v>
      </c>
      <c r="H82" s="63" t="str">
        <f>IFERROR(VLOOKUP(G82,$G$46:$H$77,2,FALSE),"")</f>
        <v>하드웨어 분석하기</v>
      </c>
      <c r="I82" s="64"/>
      <c r="J82" s="15" t="s">
        <v>574</v>
      </c>
      <c r="K82" s="53" t="s">
        <v>581</v>
      </c>
    </row>
    <row r="83" spans="2:11" ht="22.5" customHeight="1" x14ac:dyDescent="0.3">
      <c r="B83" s="59"/>
      <c r="C83" s="1" t="s">
        <v>1</v>
      </c>
      <c r="D83" s="8" t="str">
        <f t="shared" ref="D83:D84" si="3">IF(VLOOKUP(G83,$C$46:$E$77,2,FALSE)="","",VLOOKUP(G83,$C$46:$E$77,2,FALSE))</f>
        <v/>
      </c>
      <c r="E83" s="63" t="str">
        <f t="shared" ref="E83:E84" si="4">IF(VLOOKUP(G83,$C$46:$E$77,3,FALSE)="","",VLOOKUP(G83,$C$46:$E$77,3,FALSE))</f>
        <v/>
      </c>
      <c r="F83" s="64"/>
      <c r="G83" s="13"/>
      <c r="H83" s="63" t="str">
        <f t="shared" ref="H83:H90" si="5">IFERROR(VLOOKUP(G83,$G$46:$H$77,2,FALSE),"")</f>
        <v/>
      </c>
      <c r="I83" s="64"/>
      <c r="J83" s="15" t="s">
        <v>575</v>
      </c>
      <c r="K83" s="65"/>
    </row>
    <row r="84" spans="2:11" ht="22.5" customHeight="1" x14ac:dyDescent="0.3">
      <c r="B84" s="59"/>
      <c r="C84" s="1" t="s">
        <v>2</v>
      </c>
      <c r="D84" s="8" t="str">
        <f t="shared" si="3"/>
        <v/>
      </c>
      <c r="E84" s="63" t="str">
        <f t="shared" si="4"/>
        <v/>
      </c>
      <c r="F84" s="64"/>
      <c r="G84" s="13"/>
      <c r="H84" s="63" t="str">
        <f t="shared" si="5"/>
        <v/>
      </c>
      <c r="I84" s="64"/>
      <c r="J84" s="15" t="s">
        <v>654</v>
      </c>
      <c r="K84" s="65"/>
    </row>
    <row r="85" spans="2:11" ht="22.5" customHeight="1" x14ac:dyDescent="0.3">
      <c r="B85" s="59"/>
      <c r="C85" s="2" t="s">
        <v>18</v>
      </c>
      <c r="D85" s="7"/>
      <c r="E85" s="67"/>
      <c r="F85" s="68"/>
      <c r="G85" s="17"/>
      <c r="H85" s="67"/>
      <c r="I85" s="68"/>
      <c r="J85" s="16"/>
      <c r="K85" s="65"/>
    </row>
    <row r="86" spans="2:11" ht="22.5" customHeight="1" x14ac:dyDescent="0.3">
      <c r="B86" s="59"/>
      <c r="C86" s="1" t="s">
        <v>3</v>
      </c>
      <c r="D86" s="8" t="str">
        <f>IF(VLOOKUP(G86,$C$46:$E$77,2,FALSE)="","",VLOOKUP(G86,$C$46:$E$77,2,FALSE))</f>
        <v/>
      </c>
      <c r="E86" s="63" t="str">
        <f>IF(VLOOKUP(G86,$C$46:$E$77,3,FALSE)="","",VLOOKUP(G86,$C$46:$E$77,3,FALSE))</f>
        <v/>
      </c>
      <c r="F86" s="64"/>
      <c r="G86" s="13"/>
      <c r="H86" s="63" t="str">
        <f t="shared" si="5"/>
        <v/>
      </c>
      <c r="I86" s="64"/>
      <c r="J86" s="15" t="s">
        <v>576</v>
      </c>
      <c r="K86" s="65"/>
    </row>
    <row r="87" spans="2:11" ht="22.5" customHeight="1" x14ac:dyDescent="0.3">
      <c r="B87" s="59"/>
      <c r="C87" s="1" t="s">
        <v>4</v>
      </c>
      <c r="D87" s="8" t="str">
        <f t="shared" ref="D87:D90" si="6">IF(VLOOKUP(G87,$C$46:$E$77,2,FALSE)="","",VLOOKUP(G87,$C$46:$E$77,2,FALSE))</f>
        <v/>
      </c>
      <c r="E87" s="63" t="str">
        <f t="shared" ref="E87:E90" si="7">IF(VLOOKUP(G87,$C$46:$E$77,3,FALSE)="","",VLOOKUP(G87,$C$46:$E$77,3,FALSE))</f>
        <v/>
      </c>
      <c r="F87" s="64"/>
      <c r="G87" s="13"/>
      <c r="H87" s="63" t="str">
        <f t="shared" si="5"/>
        <v/>
      </c>
      <c r="I87" s="64"/>
      <c r="J87" s="15" t="s">
        <v>577</v>
      </c>
      <c r="K87" s="65"/>
    </row>
    <row r="88" spans="2:11" ht="22.5" customHeight="1" x14ac:dyDescent="0.3">
      <c r="B88" s="59"/>
      <c r="C88" s="1" t="s">
        <v>5</v>
      </c>
      <c r="D88" s="8" t="str">
        <f t="shared" si="6"/>
        <v/>
      </c>
      <c r="E88" s="63" t="str">
        <f t="shared" si="7"/>
        <v/>
      </c>
      <c r="F88" s="64"/>
      <c r="G88" s="13"/>
      <c r="H88" s="63" t="str">
        <f t="shared" si="5"/>
        <v/>
      </c>
      <c r="I88" s="64"/>
      <c r="J88" s="15" t="s">
        <v>578</v>
      </c>
      <c r="K88" s="65"/>
    </row>
    <row r="89" spans="2:11" ht="22.5" customHeight="1" x14ac:dyDescent="0.3">
      <c r="B89" s="59"/>
      <c r="C89" s="1" t="s">
        <v>6</v>
      </c>
      <c r="D89" s="8" t="str">
        <f t="shared" si="6"/>
        <v/>
      </c>
      <c r="E89" s="63" t="str">
        <f t="shared" si="7"/>
        <v/>
      </c>
      <c r="F89" s="64"/>
      <c r="G89" s="13"/>
      <c r="H89" s="63" t="str">
        <f t="shared" si="5"/>
        <v/>
      </c>
      <c r="I89" s="64"/>
      <c r="J89" s="15" t="s">
        <v>579</v>
      </c>
      <c r="K89" s="65"/>
    </row>
    <row r="90" spans="2:11" ht="22.5" customHeight="1" x14ac:dyDescent="0.3">
      <c r="B90" s="60"/>
      <c r="C90" s="1" t="s">
        <v>7</v>
      </c>
      <c r="D90" s="8" t="str">
        <f t="shared" si="6"/>
        <v/>
      </c>
      <c r="E90" s="63" t="str">
        <f t="shared" si="7"/>
        <v/>
      </c>
      <c r="F90" s="64"/>
      <c r="G90" s="13"/>
      <c r="H90" s="63" t="str">
        <f t="shared" si="5"/>
        <v/>
      </c>
      <c r="I90" s="64"/>
      <c r="J90" s="15" t="s">
        <v>580</v>
      </c>
      <c r="K90" s="66"/>
    </row>
    <row r="91" spans="2:11" ht="22.5" customHeight="1" x14ac:dyDescent="0.3">
      <c r="B91" s="58" t="s">
        <v>16</v>
      </c>
      <c r="C91" s="5" t="s">
        <v>8</v>
      </c>
      <c r="D91" s="5" t="s">
        <v>10</v>
      </c>
      <c r="E91" s="61" t="s">
        <v>13</v>
      </c>
      <c r="F91" s="62"/>
      <c r="G91" s="12" t="s">
        <v>11</v>
      </c>
      <c r="H91" s="61" t="s">
        <v>12</v>
      </c>
      <c r="I91" s="62"/>
      <c r="J91" s="12" t="s">
        <v>14</v>
      </c>
      <c r="K91" s="12" t="s">
        <v>32</v>
      </c>
    </row>
    <row r="92" spans="2:11" ht="22.5" customHeight="1" x14ac:dyDescent="0.3">
      <c r="B92" s="59"/>
      <c r="C92" s="1" t="s">
        <v>0</v>
      </c>
      <c r="D92" s="8" t="str">
        <f>IF(VLOOKUP(G92,$C$46:$E$77,2,FALSE)="","",VLOOKUP(G92,$C$46:$E$77,2,FALSE))</f>
        <v/>
      </c>
      <c r="E92" s="63" t="str">
        <f>IF(VLOOKUP(G92,$C$46:$E$77,3,FALSE)="","",VLOOKUP(G92,$C$46:$E$77,3,FALSE))</f>
        <v/>
      </c>
      <c r="F92" s="64"/>
      <c r="G92" s="13"/>
      <c r="H92" s="63" t="str">
        <f>IFERROR(VLOOKUP(G92,$G$46:$H$77,2,FALSE),"")</f>
        <v/>
      </c>
      <c r="I92" s="64"/>
      <c r="J92" s="15"/>
      <c r="K92" s="54"/>
    </row>
    <row r="93" spans="2:11" ht="22.5" customHeight="1" x14ac:dyDescent="0.3">
      <c r="B93" s="59"/>
      <c r="C93" s="1" t="s">
        <v>1</v>
      </c>
      <c r="D93" s="8" t="str">
        <f t="shared" ref="D93:D94" si="8">IF(VLOOKUP(G93,$C$46:$E$77,2,FALSE)="","",VLOOKUP(G93,$C$46:$E$77,2,FALSE))</f>
        <v/>
      </c>
      <c r="E93" s="63" t="str">
        <f t="shared" ref="E93:E94" si="9">IF(VLOOKUP(G93,$C$46:$E$77,3,FALSE)="","",VLOOKUP(G93,$C$46:$E$77,3,FALSE))</f>
        <v/>
      </c>
      <c r="F93" s="64"/>
      <c r="G93" s="13"/>
      <c r="H93" s="63" t="str">
        <f t="shared" ref="H93:H100" si="10">IFERROR(VLOOKUP(G93,$G$46:$H$77,2,FALSE),"")</f>
        <v/>
      </c>
      <c r="I93" s="64"/>
      <c r="J93" s="15"/>
      <c r="K93" s="65"/>
    </row>
    <row r="94" spans="2:11" ht="22.5" customHeight="1" x14ac:dyDescent="0.3">
      <c r="B94" s="59"/>
      <c r="C94" s="1" t="s">
        <v>2</v>
      </c>
      <c r="D94" s="8" t="str">
        <f t="shared" si="8"/>
        <v/>
      </c>
      <c r="E94" s="63" t="str">
        <f t="shared" si="9"/>
        <v/>
      </c>
      <c r="F94" s="64"/>
      <c r="G94" s="13"/>
      <c r="H94" s="63" t="str">
        <f t="shared" si="10"/>
        <v/>
      </c>
      <c r="I94" s="64"/>
      <c r="J94" s="15"/>
      <c r="K94" s="65"/>
    </row>
    <row r="95" spans="2:11" ht="22.5" customHeight="1" x14ac:dyDescent="0.3">
      <c r="B95" s="59"/>
      <c r="C95" s="2" t="s">
        <v>18</v>
      </c>
      <c r="D95" s="7"/>
      <c r="E95" s="67"/>
      <c r="F95" s="68"/>
      <c r="G95" s="17"/>
      <c r="H95" s="67"/>
      <c r="I95" s="68"/>
      <c r="J95" s="16"/>
      <c r="K95" s="65"/>
    </row>
    <row r="96" spans="2:11" ht="22.5" customHeight="1" x14ac:dyDescent="0.3">
      <c r="B96" s="59"/>
      <c r="C96" s="1" t="s">
        <v>3</v>
      </c>
      <c r="D96" s="8" t="str">
        <f>IF(VLOOKUP(G96,$C$46:$E$77,2,FALSE)="","",VLOOKUP(G96,$C$46:$E$77,2,FALSE))</f>
        <v/>
      </c>
      <c r="E96" s="63" t="str">
        <f>IF(VLOOKUP(G96,$C$46:$E$77,3,FALSE)="","",VLOOKUP(G96,$C$46:$E$77,3,FALSE))</f>
        <v/>
      </c>
      <c r="F96" s="64"/>
      <c r="G96" s="13"/>
      <c r="H96" s="63" t="str">
        <f t="shared" si="10"/>
        <v/>
      </c>
      <c r="I96" s="64"/>
      <c r="J96" s="15"/>
      <c r="K96" s="65"/>
    </row>
    <row r="97" spans="2:11" ht="22.5" customHeight="1" x14ac:dyDescent="0.3">
      <c r="B97" s="59"/>
      <c r="C97" s="1" t="s">
        <v>4</v>
      </c>
      <c r="D97" s="8" t="str">
        <f t="shared" ref="D97:D100" si="11">IF(VLOOKUP(G97,$C$46:$E$77,2,FALSE)="","",VLOOKUP(G97,$C$46:$E$77,2,FALSE))</f>
        <v/>
      </c>
      <c r="E97" s="63" t="str">
        <f t="shared" ref="E97:E100" si="12">IF(VLOOKUP(G97,$C$46:$E$77,3,FALSE)="","",VLOOKUP(G97,$C$46:$E$77,3,FALSE))</f>
        <v/>
      </c>
      <c r="F97" s="64"/>
      <c r="G97" s="13"/>
      <c r="H97" s="63" t="str">
        <f t="shared" si="10"/>
        <v/>
      </c>
      <c r="I97" s="64"/>
      <c r="J97" s="15"/>
      <c r="K97" s="65"/>
    </row>
    <row r="98" spans="2:11" ht="22.5" customHeight="1" x14ac:dyDescent="0.3">
      <c r="B98" s="59"/>
      <c r="C98" s="1" t="s">
        <v>5</v>
      </c>
      <c r="D98" s="8" t="str">
        <f t="shared" si="11"/>
        <v/>
      </c>
      <c r="E98" s="63" t="str">
        <f t="shared" si="12"/>
        <v/>
      </c>
      <c r="F98" s="64"/>
      <c r="G98" s="13"/>
      <c r="H98" s="63" t="str">
        <f t="shared" si="10"/>
        <v/>
      </c>
      <c r="I98" s="64"/>
      <c r="J98" s="15"/>
      <c r="K98" s="65"/>
    </row>
    <row r="99" spans="2:11" ht="22.5" customHeight="1" x14ac:dyDescent="0.3">
      <c r="B99" s="59"/>
      <c r="C99" s="1" t="s">
        <v>6</v>
      </c>
      <c r="D99" s="8" t="str">
        <f t="shared" si="11"/>
        <v/>
      </c>
      <c r="E99" s="63" t="str">
        <f t="shared" si="12"/>
        <v/>
      </c>
      <c r="F99" s="64"/>
      <c r="G99" s="13"/>
      <c r="H99" s="63" t="str">
        <f t="shared" si="10"/>
        <v/>
      </c>
      <c r="I99" s="64"/>
      <c r="J99" s="15"/>
      <c r="K99" s="65"/>
    </row>
    <row r="100" spans="2:11" ht="22.5" customHeight="1" x14ac:dyDescent="0.3">
      <c r="B100" s="60"/>
      <c r="C100" s="1" t="s">
        <v>7</v>
      </c>
      <c r="D100" s="8" t="str">
        <f t="shared" si="11"/>
        <v/>
      </c>
      <c r="E100" s="63" t="str">
        <f t="shared" si="12"/>
        <v/>
      </c>
      <c r="F100" s="64"/>
      <c r="G100" s="13"/>
      <c r="H100" s="63" t="str">
        <f t="shared" si="10"/>
        <v/>
      </c>
      <c r="I100" s="64"/>
      <c r="J100" s="15"/>
      <c r="K100" s="66"/>
    </row>
    <row r="101" spans="2:11" ht="22.5" customHeight="1" x14ac:dyDescent="0.3">
      <c r="B101" s="58" t="s">
        <v>17</v>
      </c>
      <c r="C101" s="5" t="s">
        <v>8</v>
      </c>
      <c r="D101" s="5" t="s">
        <v>10</v>
      </c>
      <c r="E101" s="61" t="s">
        <v>13</v>
      </c>
      <c r="F101" s="62"/>
      <c r="G101" s="12" t="s">
        <v>11</v>
      </c>
      <c r="H101" s="61" t="s">
        <v>12</v>
      </c>
      <c r="I101" s="62"/>
      <c r="J101" s="12" t="s">
        <v>14</v>
      </c>
      <c r="K101" s="12" t="s">
        <v>33</v>
      </c>
    </row>
    <row r="102" spans="2:11" ht="22.5" customHeight="1" x14ac:dyDescent="0.3">
      <c r="B102" s="59"/>
      <c r="C102" s="1" t="s">
        <v>0</v>
      </c>
      <c r="D102" s="8" t="str">
        <f>IF(VLOOKUP(G102,$C$46:$E$77,2,FALSE)="","",VLOOKUP(G102,$C$46:$E$77,2,FALSE))</f>
        <v/>
      </c>
      <c r="E102" s="63" t="str">
        <f>IF(VLOOKUP(G102,$C$46:$E$77,3,FALSE)="","",VLOOKUP(G102,$C$46:$E$77,3,FALSE))</f>
        <v/>
      </c>
      <c r="F102" s="64"/>
      <c r="G102" s="13"/>
      <c r="H102" s="63" t="str">
        <f>IFERROR(VLOOKUP(G102,$G$46:$H$77,2,FALSE),"")</f>
        <v/>
      </c>
      <c r="I102" s="64"/>
      <c r="J102" s="15"/>
      <c r="K102" s="54"/>
    </row>
    <row r="103" spans="2:11" ht="22.5" customHeight="1" x14ac:dyDescent="0.3">
      <c r="B103" s="59"/>
      <c r="C103" s="1" t="s">
        <v>1</v>
      </c>
      <c r="D103" s="8" t="str">
        <f t="shared" ref="D103:D104" si="13">IF(VLOOKUP(G103,$C$46:$E$77,2,FALSE)="","",VLOOKUP(G103,$C$46:$E$77,2,FALSE))</f>
        <v/>
      </c>
      <c r="E103" s="63" t="str">
        <f t="shared" ref="E103:E104" si="14">IF(VLOOKUP(G103,$C$46:$E$77,3,FALSE)="","",VLOOKUP(G103,$C$46:$E$77,3,FALSE))</f>
        <v/>
      </c>
      <c r="F103" s="64"/>
      <c r="G103" s="13"/>
      <c r="H103" s="63" t="str">
        <f t="shared" ref="H103:H110" si="15">IFERROR(VLOOKUP(G103,$G$46:$H$77,2,FALSE),"")</f>
        <v/>
      </c>
      <c r="I103" s="64"/>
      <c r="J103" s="15"/>
      <c r="K103" s="65"/>
    </row>
    <row r="104" spans="2:11" ht="22.5" customHeight="1" x14ac:dyDescent="0.3">
      <c r="B104" s="59"/>
      <c r="C104" s="1" t="s">
        <v>2</v>
      </c>
      <c r="D104" s="8" t="str">
        <f t="shared" si="13"/>
        <v/>
      </c>
      <c r="E104" s="63" t="str">
        <f t="shared" si="14"/>
        <v/>
      </c>
      <c r="F104" s="64"/>
      <c r="G104" s="13"/>
      <c r="H104" s="63" t="str">
        <f t="shared" si="15"/>
        <v/>
      </c>
      <c r="I104" s="64"/>
      <c r="J104" s="15"/>
      <c r="K104" s="65"/>
    </row>
    <row r="105" spans="2:11" ht="22.5" customHeight="1" x14ac:dyDescent="0.3">
      <c r="B105" s="59"/>
      <c r="C105" s="2" t="s">
        <v>18</v>
      </c>
      <c r="D105" s="7"/>
      <c r="E105" s="67"/>
      <c r="F105" s="68"/>
      <c r="G105" s="17"/>
      <c r="H105" s="67"/>
      <c r="I105" s="68"/>
      <c r="J105" s="16"/>
      <c r="K105" s="65"/>
    </row>
    <row r="106" spans="2:11" ht="22.5" customHeight="1" x14ac:dyDescent="0.3">
      <c r="B106" s="59"/>
      <c r="C106" s="1" t="s">
        <v>3</v>
      </c>
      <c r="D106" s="8" t="str">
        <f>IF(VLOOKUP(G106,$C$46:$E$77,2,FALSE)="","",VLOOKUP(G106,$C$46:$E$77,2,FALSE))</f>
        <v/>
      </c>
      <c r="E106" s="63" t="str">
        <f>IF(VLOOKUP(G106,$C$46:$E$77,3,FALSE)="","",VLOOKUP(G106,$C$46:$E$77,3,FALSE))</f>
        <v/>
      </c>
      <c r="F106" s="64"/>
      <c r="G106" s="13"/>
      <c r="H106" s="63" t="str">
        <f t="shared" si="15"/>
        <v/>
      </c>
      <c r="I106" s="64"/>
      <c r="J106" s="15"/>
      <c r="K106" s="65"/>
    </row>
    <row r="107" spans="2:11" ht="22.5" customHeight="1" x14ac:dyDescent="0.3">
      <c r="B107" s="59"/>
      <c r="C107" s="1" t="s">
        <v>4</v>
      </c>
      <c r="D107" s="8" t="str">
        <f t="shared" ref="D107:D110" si="16">IF(VLOOKUP(G107,$C$46:$E$77,2,FALSE)="","",VLOOKUP(G107,$C$46:$E$77,2,FALSE))</f>
        <v/>
      </c>
      <c r="E107" s="63" t="str">
        <f t="shared" ref="E107:E110" si="17">IF(VLOOKUP(G107,$C$46:$E$77,3,FALSE)="","",VLOOKUP(G107,$C$46:$E$77,3,FALSE))</f>
        <v/>
      </c>
      <c r="F107" s="64"/>
      <c r="G107" s="13"/>
      <c r="H107" s="63" t="str">
        <f t="shared" si="15"/>
        <v/>
      </c>
      <c r="I107" s="64"/>
      <c r="J107" s="15"/>
      <c r="K107" s="65"/>
    </row>
    <row r="108" spans="2:11" ht="22.5" customHeight="1" x14ac:dyDescent="0.3">
      <c r="B108" s="59"/>
      <c r="C108" s="1" t="s">
        <v>5</v>
      </c>
      <c r="D108" s="8" t="str">
        <f t="shared" si="16"/>
        <v/>
      </c>
      <c r="E108" s="63" t="str">
        <f t="shared" si="17"/>
        <v/>
      </c>
      <c r="F108" s="64"/>
      <c r="G108" s="13"/>
      <c r="H108" s="63" t="str">
        <f t="shared" si="15"/>
        <v/>
      </c>
      <c r="I108" s="64"/>
      <c r="J108" s="15"/>
      <c r="K108" s="65"/>
    </row>
    <row r="109" spans="2:11" ht="22.5" customHeight="1" x14ac:dyDescent="0.3">
      <c r="B109" s="59"/>
      <c r="C109" s="1" t="s">
        <v>6</v>
      </c>
      <c r="D109" s="8" t="str">
        <f t="shared" si="16"/>
        <v/>
      </c>
      <c r="E109" s="63" t="str">
        <f t="shared" si="17"/>
        <v/>
      </c>
      <c r="F109" s="64"/>
      <c r="G109" s="13"/>
      <c r="H109" s="63" t="str">
        <f t="shared" si="15"/>
        <v/>
      </c>
      <c r="I109" s="64"/>
      <c r="J109" s="15"/>
      <c r="K109" s="65"/>
    </row>
    <row r="110" spans="2:11" ht="22.5" customHeight="1" x14ac:dyDescent="0.3">
      <c r="B110" s="60"/>
      <c r="C110" s="1" t="s">
        <v>7</v>
      </c>
      <c r="D110" s="8" t="str">
        <f t="shared" si="16"/>
        <v/>
      </c>
      <c r="E110" s="63" t="str">
        <f t="shared" si="17"/>
        <v/>
      </c>
      <c r="F110" s="64"/>
      <c r="G110" s="13"/>
      <c r="H110" s="63" t="str">
        <f t="shared" si="15"/>
        <v/>
      </c>
      <c r="I110" s="64"/>
      <c r="J110" s="15"/>
      <c r="K110" s="66"/>
    </row>
    <row r="111" spans="2:11" ht="22.5" customHeight="1" x14ac:dyDescent="0.3">
      <c r="B111" s="58" t="s">
        <v>19</v>
      </c>
      <c r="C111" s="5" t="s">
        <v>8</v>
      </c>
      <c r="D111" s="5" t="s">
        <v>10</v>
      </c>
      <c r="E111" s="61" t="s">
        <v>13</v>
      </c>
      <c r="F111" s="62"/>
      <c r="G111" s="12" t="s">
        <v>11</v>
      </c>
      <c r="H111" s="61" t="s">
        <v>12</v>
      </c>
      <c r="I111" s="62"/>
      <c r="J111" s="12" t="s">
        <v>14</v>
      </c>
      <c r="K111" s="12" t="s">
        <v>34</v>
      </c>
    </row>
    <row r="112" spans="2:11" ht="22.5" customHeight="1" x14ac:dyDescent="0.3">
      <c r="B112" s="59"/>
      <c r="C112" s="1" t="s">
        <v>0</v>
      </c>
      <c r="D112" s="8" t="str">
        <f>IF(VLOOKUP(G112,$C$46:$E$77,2,FALSE)="","",VLOOKUP(G112,$C$46:$E$77,2,FALSE))</f>
        <v/>
      </c>
      <c r="E112" s="63" t="str">
        <f>IF(VLOOKUP(G112,$C$46:$E$77,3,FALSE)="","",VLOOKUP(G112,$C$46:$E$77,3,FALSE))</f>
        <v/>
      </c>
      <c r="F112" s="64"/>
      <c r="G112" s="13"/>
      <c r="H112" s="63" t="str">
        <f>IFERROR(VLOOKUP(G112,$G$46:$H$77,2,FALSE),"")</f>
        <v/>
      </c>
      <c r="I112" s="64"/>
      <c r="J112" s="15"/>
      <c r="K112" s="54"/>
    </row>
    <row r="113" spans="2:11" ht="22.5" customHeight="1" x14ac:dyDescent="0.3">
      <c r="B113" s="59"/>
      <c r="C113" s="1" t="s">
        <v>1</v>
      </c>
      <c r="D113" s="8" t="str">
        <f t="shared" ref="D113:D114" si="18">IF(VLOOKUP(G113,$C$46:$E$77,2,FALSE)="","",VLOOKUP(G113,$C$46:$E$77,2,FALSE))</f>
        <v/>
      </c>
      <c r="E113" s="63" t="str">
        <f t="shared" ref="E113:E114" si="19">IF(VLOOKUP(G113,$C$46:$E$77,3,FALSE)="","",VLOOKUP(G113,$C$46:$E$77,3,FALSE))</f>
        <v/>
      </c>
      <c r="F113" s="64"/>
      <c r="G113" s="13"/>
      <c r="H113" s="63" t="str">
        <f t="shared" ref="H113:H120" si="20">IFERROR(VLOOKUP(G113,$G$46:$H$77,2,FALSE),"")</f>
        <v/>
      </c>
      <c r="I113" s="64"/>
      <c r="J113" s="15"/>
      <c r="K113" s="65"/>
    </row>
    <row r="114" spans="2:11" ht="22.5" customHeight="1" x14ac:dyDescent="0.3">
      <c r="B114" s="59"/>
      <c r="C114" s="1" t="s">
        <v>2</v>
      </c>
      <c r="D114" s="8" t="str">
        <f t="shared" si="18"/>
        <v/>
      </c>
      <c r="E114" s="63" t="str">
        <f t="shared" si="19"/>
        <v/>
      </c>
      <c r="F114" s="64"/>
      <c r="G114" s="13"/>
      <c r="H114" s="63" t="str">
        <f t="shared" si="20"/>
        <v/>
      </c>
      <c r="I114" s="64"/>
      <c r="J114" s="15"/>
      <c r="K114" s="65"/>
    </row>
    <row r="115" spans="2:11" ht="22.5" customHeight="1" x14ac:dyDescent="0.3">
      <c r="B115" s="59"/>
      <c r="C115" s="2" t="s">
        <v>18</v>
      </c>
      <c r="D115" s="7"/>
      <c r="E115" s="67"/>
      <c r="F115" s="68"/>
      <c r="G115" s="17"/>
      <c r="H115" s="67"/>
      <c r="I115" s="68"/>
      <c r="J115" s="16"/>
      <c r="K115" s="65"/>
    </row>
    <row r="116" spans="2:11" ht="22.5" customHeight="1" x14ac:dyDescent="0.3">
      <c r="B116" s="59"/>
      <c r="C116" s="1" t="s">
        <v>3</v>
      </c>
      <c r="D116" s="8" t="str">
        <f>IF(VLOOKUP(G116,$C$46:$E$77,2,FALSE)="","",VLOOKUP(G116,$C$46:$E$77,2,FALSE))</f>
        <v/>
      </c>
      <c r="E116" s="63" t="str">
        <f>IF(VLOOKUP(G116,$C$46:$E$77,3,FALSE)="","",VLOOKUP(G116,$C$46:$E$77,3,FALSE))</f>
        <v/>
      </c>
      <c r="F116" s="64"/>
      <c r="G116" s="13"/>
      <c r="H116" s="63" t="str">
        <f t="shared" si="20"/>
        <v/>
      </c>
      <c r="I116" s="64"/>
      <c r="J116" s="15"/>
      <c r="K116" s="65"/>
    </row>
    <row r="117" spans="2:11" ht="22.5" customHeight="1" x14ac:dyDescent="0.3">
      <c r="B117" s="59"/>
      <c r="C117" s="1" t="s">
        <v>4</v>
      </c>
      <c r="D117" s="8" t="str">
        <f t="shared" ref="D117:D120" si="21">IF(VLOOKUP(G117,$C$46:$E$77,2,FALSE)="","",VLOOKUP(G117,$C$46:$E$77,2,FALSE))</f>
        <v/>
      </c>
      <c r="E117" s="63" t="str">
        <f t="shared" ref="E117:E120" si="22">IF(VLOOKUP(G117,$C$46:$E$77,3,FALSE)="","",VLOOKUP(G117,$C$46:$E$77,3,FALSE))</f>
        <v/>
      </c>
      <c r="F117" s="64"/>
      <c r="G117" s="13"/>
      <c r="H117" s="63" t="str">
        <f t="shared" si="20"/>
        <v/>
      </c>
      <c r="I117" s="64"/>
      <c r="J117" s="15"/>
      <c r="K117" s="65"/>
    </row>
    <row r="118" spans="2:11" ht="22.5" customHeight="1" x14ac:dyDescent="0.3">
      <c r="B118" s="59"/>
      <c r="C118" s="1" t="s">
        <v>5</v>
      </c>
      <c r="D118" s="8" t="str">
        <f t="shared" si="21"/>
        <v/>
      </c>
      <c r="E118" s="63" t="str">
        <f t="shared" si="22"/>
        <v/>
      </c>
      <c r="F118" s="64"/>
      <c r="G118" s="13"/>
      <c r="H118" s="63" t="str">
        <f t="shared" si="20"/>
        <v/>
      </c>
      <c r="I118" s="64"/>
      <c r="J118" s="15"/>
      <c r="K118" s="65"/>
    </row>
    <row r="119" spans="2:11" ht="22.5" customHeight="1" x14ac:dyDescent="0.3">
      <c r="B119" s="59"/>
      <c r="C119" s="1" t="s">
        <v>6</v>
      </c>
      <c r="D119" s="8" t="str">
        <f t="shared" si="21"/>
        <v/>
      </c>
      <c r="E119" s="63" t="str">
        <f t="shared" si="22"/>
        <v/>
      </c>
      <c r="F119" s="64"/>
      <c r="G119" s="13"/>
      <c r="H119" s="63" t="str">
        <f t="shared" si="20"/>
        <v/>
      </c>
      <c r="I119" s="64"/>
      <c r="J119" s="15"/>
      <c r="K119" s="65"/>
    </row>
    <row r="120" spans="2:11" ht="22.5" customHeight="1" x14ac:dyDescent="0.3">
      <c r="B120" s="60"/>
      <c r="C120" s="1" t="s">
        <v>7</v>
      </c>
      <c r="D120" s="8" t="str">
        <f t="shared" si="21"/>
        <v/>
      </c>
      <c r="E120" s="63" t="str">
        <f t="shared" si="22"/>
        <v/>
      </c>
      <c r="F120" s="64"/>
      <c r="G120" s="13"/>
      <c r="H120" s="63" t="str">
        <f t="shared" si="20"/>
        <v/>
      </c>
      <c r="I120" s="64"/>
      <c r="J120" s="15"/>
      <c r="K120" s="66"/>
    </row>
    <row r="121" spans="2:11" ht="22.5" customHeight="1" x14ac:dyDescent="0.3">
      <c r="B121" s="58" t="s">
        <v>20</v>
      </c>
      <c r="C121" s="5" t="s">
        <v>8</v>
      </c>
      <c r="D121" s="5" t="s">
        <v>10</v>
      </c>
      <c r="E121" s="61" t="s">
        <v>13</v>
      </c>
      <c r="F121" s="62"/>
      <c r="G121" s="12" t="s">
        <v>11</v>
      </c>
      <c r="H121" s="61" t="s">
        <v>12</v>
      </c>
      <c r="I121" s="62"/>
      <c r="J121" s="12" t="s">
        <v>14</v>
      </c>
      <c r="K121" s="12" t="s">
        <v>35</v>
      </c>
    </row>
    <row r="122" spans="2:11" ht="22.5" customHeight="1" x14ac:dyDescent="0.3">
      <c r="B122" s="59"/>
      <c r="C122" s="1" t="s">
        <v>0</v>
      </c>
      <c r="D122" s="8" t="str">
        <f>IF(VLOOKUP(G122,$C$46:$E$77,2,FALSE)="","",VLOOKUP(G122,$C$46:$E$77,2,FALSE))</f>
        <v/>
      </c>
      <c r="E122" s="63" t="str">
        <f>IF(VLOOKUP(G122,$C$46:$E$77,3,FALSE)="","",VLOOKUP(G122,$C$46:$E$77,3,FALSE))</f>
        <v/>
      </c>
      <c r="F122" s="64"/>
      <c r="G122" s="13"/>
      <c r="H122" s="63" t="str">
        <f>IFERROR(VLOOKUP(G122,$G$46:$H$77,2,FALSE),"")</f>
        <v/>
      </c>
      <c r="I122" s="64"/>
      <c r="J122" s="15"/>
      <c r="K122" s="54"/>
    </row>
    <row r="123" spans="2:11" ht="22.5" customHeight="1" x14ac:dyDescent="0.3">
      <c r="B123" s="59"/>
      <c r="C123" s="1" t="s">
        <v>1</v>
      </c>
      <c r="D123" s="8" t="str">
        <f t="shared" ref="D123:D124" si="23">IF(VLOOKUP(G123,$C$46:$E$77,2,FALSE)="","",VLOOKUP(G123,$C$46:$E$77,2,FALSE))</f>
        <v/>
      </c>
      <c r="E123" s="63" t="str">
        <f t="shared" ref="E123:E124" si="24">IF(VLOOKUP(G123,$C$46:$E$77,3,FALSE)="","",VLOOKUP(G123,$C$46:$E$77,3,FALSE))</f>
        <v/>
      </c>
      <c r="F123" s="64"/>
      <c r="G123" s="13"/>
      <c r="H123" s="63" t="str">
        <f t="shared" ref="H123:H130" si="25">IFERROR(VLOOKUP(G123,$G$46:$H$77,2,FALSE),"")</f>
        <v/>
      </c>
      <c r="I123" s="64"/>
      <c r="J123" s="15"/>
      <c r="K123" s="65"/>
    </row>
    <row r="124" spans="2:11" ht="22.5" customHeight="1" x14ac:dyDescent="0.3">
      <c r="B124" s="59"/>
      <c r="C124" s="1" t="s">
        <v>2</v>
      </c>
      <c r="D124" s="8" t="str">
        <f t="shared" si="23"/>
        <v/>
      </c>
      <c r="E124" s="63" t="str">
        <f t="shared" si="24"/>
        <v/>
      </c>
      <c r="F124" s="64"/>
      <c r="G124" s="13"/>
      <c r="H124" s="63" t="str">
        <f t="shared" si="25"/>
        <v/>
      </c>
      <c r="I124" s="64"/>
      <c r="J124" s="15"/>
      <c r="K124" s="65"/>
    </row>
    <row r="125" spans="2:11" ht="22.5" customHeight="1" x14ac:dyDescent="0.3">
      <c r="B125" s="59"/>
      <c r="C125" s="2" t="s">
        <v>18</v>
      </c>
      <c r="D125" s="7"/>
      <c r="E125" s="67"/>
      <c r="F125" s="68"/>
      <c r="G125" s="17"/>
      <c r="H125" s="67"/>
      <c r="I125" s="68"/>
      <c r="J125" s="16"/>
      <c r="K125" s="65"/>
    </row>
    <row r="126" spans="2:11" ht="22.5" customHeight="1" x14ac:dyDescent="0.3">
      <c r="B126" s="59"/>
      <c r="C126" s="1" t="s">
        <v>3</v>
      </c>
      <c r="D126" s="8" t="str">
        <f>IF(VLOOKUP(G126,$C$46:$E$77,2,FALSE)="","",VLOOKUP(G126,$C$46:$E$77,2,FALSE))</f>
        <v/>
      </c>
      <c r="E126" s="63" t="str">
        <f>IF(VLOOKUP(G126,$C$46:$E$77,3,FALSE)="","",VLOOKUP(G126,$C$46:$E$77,3,FALSE))</f>
        <v/>
      </c>
      <c r="F126" s="64"/>
      <c r="G126" s="13"/>
      <c r="H126" s="63" t="str">
        <f t="shared" si="25"/>
        <v/>
      </c>
      <c r="I126" s="64"/>
      <c r="J126" s="15"/>
      <c r="K126" s="65"/>
    </row>
    <row r="127" spans="2:11" ht="22.5" customHeight="1" x14ac:dyDescent="0.3">
      <c r="B127" s="59"/>
      <c r="C127" s="1" t="s">
        <v>4</v>
      </c>
      <c r="D127" s="8" t="str">
        <f t="shared" ref="D127:D130" si="26">IF(VLOOKUP(G127,$C$46:$E$77,2,FALSE)="","",VLOOKUP(G127,$C$46:$E$77,2,FALSE))</f>
        <v/>
      </c>
      <c r="E127" s="63" t="str">
        <f t="shared" ref="E127:E130" si="27">IF(VLOOKUP(G127,$C$46:$E$77,3,FALSE)="","",VLOOKUP(G127,$C$46:$E$77,3,FALSE))</f>
        <v/>
      </c>
      <c r="F127" s="64"/>
      <c r="G127" s="13"/>
      <c r="H127" s="63" t="str">
        <f t="shared" si="25"/>
        <v/>
      </c>
      <c r="I127" s="64"/>
      <c r="J127" s="15"/>
      <c r="K127" s="65"/>
    </row>
    <row r="128" spans="2:11" ht="22.5" customHeight="1" x14ac:dyDescent="0.3">
      <c r="B128" s="59"/>
      <c r="C128" s="1" t="s">
        <v>5</v>
      </c>
      <c r="D128" s="8" t="str">
        <f t="shared" si="26"/>
        <v/>
      </c>
      <c r="E128" s="63" t="str">
        <f t="shared" si="27"/>
        <v/>
      </c>
      <c r="F128" s="64"/>
      <c r="G128" s="13"/>
      <c r="H128" s="63" t="str">
        <f t="shared" si="25"/>
        <v/>
      </c>
      <c r="I128" s="64"/>
      <c r="J128" s="15"/>
      <c r="K128" s="65"/>
    </row>
    <row r="129" spans="2:11" ht="22.5" customHeight="1" x14ac:dyDescent="0.3">
      <c r="B129" s="59"/>
      <c r="C129" s="1" t="s">
        <v>6</v>
      </c>
      <c r="D129" s="8" t="str">
        <f t="shared" si="26"/>
        <v/>
      </c>
      <c r="E129" s="63" t="str">
        <f t="shared" si="27"/>
        <v/>
      </c>
      <c r="F129" s="64"/>
      <c r="G129" s="13"/>
      <c r="H129" s="63" t="str">
        <f t="shared" si="25"/>
        <v/>
      </c>
      <c r="I129" s="64"/>
      <c r="J129" s="15"/>
      <c r="K129" s="65"/>
    </row>
    <row r="130" spans="2:11" ht="22.5" customHeight="1" x14ac:dyDescent="0.3">
      <c r="B130" s="60"/>
      <c r="C130" s="1" t="s">
        <v>7</v>
      </c>
      <c r="D130" s="8" t="str">
        <f t="shared" si="26"/>
        <v/>
      </c>
      <c r="E130" s="63" t="str">
        <f t="shared" si="27"/>
        <v/>
      </c>
      <c r="F130" s="64"/>
      <c r="G130" s="13"/>
      <c r="H130" s="63" t="str">
        <f t="shared" si="25"/>
        <v/>
      </c>
      <c r="I130" s="64"/>
      <c r="J130" s="15"/>
      <c r="K130" s="66"/>
    </row>
    <row r="131" spans="2:11" ht="22.5" customHeight="1" x14ac:dyDescent="0.3">
      <c r="K131" s="11">
        <f>COUNTA(K82,K92,K102,K112,K122)</f>
        <v>1</v>
      </c>
    </row>
    <row r="132" spans="2:11" ht="22.5" customHeight="1" x14ac:dyDescent="0.3"/>
    <row r="133" spans="2:11" ht="22.5" customHeight="1" x14ac:dyDescent="0.3"/>
    <row r="134" spans="2:11" ht="22.5" customHeight="1" x14ac:dyDescent="0.3"/>
    <row r="135" spans="2:11" ht="22.5" customHeight="1" x14ac:dyDescent="0.3"/>
    <row r="136" spans="2:11" ht="22.5" customHeight="1" x14ac:dyDescent="0.3"/>
    <row r="137" spans="2:11" ht="22.5" customHeight="1" x14ac:dyDescent="0.3"/>
    <row r="138" spans="2:11" ht="22.5" customHeight="1" x14ac:dyDescent="0.3"/>
    <row r="139" spans="2:11" ht="22.5" customHeight="1" x14ac:dyDescent="0.3"/>
    <row r="140" spans="2:11" ht="22.5" customHeight="1" x14ac:dyDescent="0.3"/>
    <row r="141" spans="2:11" ht="22.5" customHeight="1" x14ac:dyDescent="0.3"/>
    <row r="142" spans="2:11"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A63E134A-FB0B-42AD-8E5C-9FF4A06B76D8}">
          <x14:formula1>
            <xm:f>통합!$A$2:$A$43</xm:f>
          </x14:formula1>
          <xm:sqref>J46:J77</xm:sqref>
        </x14:dataValidation>
        <x14:dataValidation type="list" allowBlank="1" showInputMessage="1" showErrorMessage="1" xr:uid="{53B97184-D1A8-4ACE-8591-0D966485934A}">
          <x14:formula1>
            <xm:f>통합!$A$2:$A$52</xm:f>
          </x14:formula1>
          <xm:sqref>C2:I2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04B5-3567-4D77-86B7-5B86D151C0EB}">
  <dimension ref="A1:O142"/>
  <sheetViews>
    <sheetView topLeftCell="A23" zoomScaleNormal="100" workbookViewId="0">
      <selection activeCell="C29" sqref="C29:I2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6" t="s">
        <v>231</v>
      </c>
      <c r="B1" s="46"/>
      <c r="C1" s="46"/>
      <c r="D1" s="46"/>
      <c r="E1" s="46"/>
      <c r="F1" s="46"/>
      <c r="G1" s="46"/>
      <c r="H1" s="46"/>
      <c r="I1" s="46"/>
      <c r="J1" s="46"/>
      <c r="K1" s="46"/>
    </row>
    <row r="2" spans="1:15" ht="21.75" customHeight="1" x14ac:dyDescent="0.3">
      <c r="B2" s="4" t="s">
        <v>205</v>
      </c>
      <c r="C2" s="43" t="s">
        <v>346</v>
      </c>
      <c r="D2" s="43"/>
      <c r="E2" s="43"/>
      <c r="F2" s="43"/>
      <c r="G2" s="43"/>
      <c r="H2" s="43"/>
      <c r="I2" s="44"/>
      <c r="J2" s="45"/>
      <c r="K2" s="45"/>
      <c r="L2" s="10"/>
      <c r="M2" s="10"/>
      <c r="N2" s="10"/>
      <c r="O2" s="10"/>
    </row>
    <row r="3" spans="1:15" ht="21.75" customHeight="1" x14ac:dyDescent="0.3">
      <c r="A3" s="11" t="s">
        <v>169</v>
      </c>
      <c r="B3" s="4" t="s">
        <v>23</v>
      </c>
      <c r="C3" s="43" t="s">
        <v>529</v>
      </c>
      <c r="D3" s="43"/>
      <c r="E3" s="43"/>
      <c r="F3" s="43"/>
      <c r="G3" s="43"/>
      <c r="H3" s="43"/>
      <c r="I3" s="44"/>
      <c r="J3" s="45" t="s">
        <v>226</v>
      </c>
      <c r="K3" s="45"/>
      <c r="L3" s="10"/>
      <c r="M3" s="10"/>
      <c r="N3" s="10"/>
      <c r="O3" s="10"/>
    </row>
    <row r="4" spans="1:15" ht="156.75" customHeight="1" x14ac:dyDescent="0.3">
      <c r="B4" s="4" t="s">
        <v>230</v>
      </c>
      <c r="C4" s="47" t="s">
        <v>530</v>
      </c>
      <c r="D4" s="43"/>
      <c r="E4" s="43"/>
      <c r="F4" s="43"/>
      <c r="G4" s="43"/>
      <c r="H4" s="43"/>
      <c r="I4" s="44"/>
      <c r="J4" s="45"/>
      <c r="K4" s="45"/>
      <c r="L4" s="10"/>
      <c r="M4" s="10"/>
      <c r="N4" s="10"/>
      <c r="O4" s="10"/>
    </row>
    <row r="5" spans="1:15" ht="21.75" customHeight="1" x14ac:dyDescent="0.3">
      <c r="A5" s="11" t="s">
        <v>188</v>
      </c>
      <c r="B5" s="4" t="s">
        <v>184</v>
      </c>
      <c r="C5" s="43" t="str">
        <f>VLOOKUP($C$2,통합!A2:J52,2,FALSE)</f>
        <v>20.정보통신</v>
      </c>
      <c r="D5" s="43"/>
      <c r="E5" s="43"/>
      <c r="F5" s="43"/>
      <c r="G5" s="43"/>
      <c r="H5" s="43"/>
      <c r="I5" s="44"/>
      <c r="J5" s="45"/>
      <c r="K5" s="45"/>
      <c r="L5" s="10"/>
      <c r="M5" s="10"/>
      <c r="N5" s="10"/>
      <c r="O5" s="10"/>
    </row>
    <row r="6" spans="1:15" ht="21.75" customHeight="1" x14ac:dyDescent="0.3">
      <c r="A6" s="11" t="s">
        <v>189</v>
      </c>
      <c r="B6" s="4" t="s">
        <v>185</v>
      </c>
      <c r="C6" s="43" t="str">
        <f>VLOOKUP($C$2,통합!A2:J52,3,FALSE)</f>
        <v>01.정보기술</v>
      </c>
      <c r="D6" s="43"/>
      <c r="E6" s="43"/>
      <c r="F6" s="43"/>
      <c r="G6" s="43"/>
      <c r="H6" s="43"/>
      <c r="I6" s="44"/>
      <c r="J6" s="45"/>
      <c r="K6" s="45"/>
      <c r="L6" s="10"/>
      <c r="M6" s="10"/>
      <c r="N6" s="10"/>
      <c r="O6" s="10"/>
    </row>
    <row r="7" spans="1:15" ht="21.75" customHeight="1" x14ac:dyDescent="0.3">
      <c r="A7" s="11" t="s">
        <v>190</v>
      </c>
      <c r="B7" s="4" t="s">
        <v>186</v>
      </c>
      <c r="C7" s="43" t="str">
        <f>VLOOKUP($C$2,통합!A2:J52,4,FALSE)</f>
        <v xml:space="preserve">07.인공지능 </v>
      </c>
      <c r="D7" s="43"/>
      <c r="E7" s="43"/>
      <c r="F7" s="43"/>
      <c r="G7" s="43"/>
      <c r="H7" s="43"/>
      <c r="I7" s="44"/>
      <c r="J7" s="45"/>
      <c r="K7" s="45"/>
      <c r="L7" s="10"/>
      <c r="M7" s="10"/>
      <c r="N7" s="10"/>
      <c r="O7" s="10"/>
    </row>
    <row r="8" spans="1:15" ht="21.75" customHeight="1" x14ac:dyDescent="0.3">
      <c r="A8" s="11" t="s">
        <v>191</v>
      </c>
      <c r="B8" s="4" t="s">
        <v>187</v>
      </c>
      <c r="C8" s="43" t="str">
        <f>VLOOKUP($C$2,통합!A2:J52,8,FALSE)&amp;"."&amp;VLOOKUP($C$2,통합!A2:J52,9,FALSE)</f>
        <v>05.프롬프트 구현</v>
      </c>
      <c r="D8" s="43"/>
      <c r="E8" s="43"/>
      <c r="F8" s="43"/>
      <c r="G8" s="43"/>
      <c r="H8" s="43"/>
      <c r="I8" s="44"/>
      <c r="J8" s="45"/>
      <c r="K8" s="45"/>
      <c r="L8" s="10"/>
      <c r="M8" s="10"/>
      <c r="N8" s="10"/>
      <c r="O8" s="10"/>
    </row>
    <row r="9" spans="1:15" ht="21.75" customHeight="1" x14ac:dyDescent="0.3">
      <c r="A9" s="11" t="s">
        <v>210</v>
      </c>
      <c r="B9" s="4" t="s">
        <v>176</v>
      </c>
      <c r="C9" s="43" t="str">
        <f>VLOOKUP($C$2,통합!A2:J52,7,FALSE)</f>
        <v>2001070705_25v1</v>
      </c>
      <c r="D9" s="43"/>
      <c r="E9" s="43"/>
      <c r="F9" s="43"/>
      <c r="G9" s="43"/>
      <c r="H9" s="43"/>
      <c r="I9" s="44"/>
      <c r="J9" s="45"/>
      <c r="K9" s="45"/>
      <c r="L9" s="10"/>
      <c r="M9" s="10"/>
      <c r="N9" s="10"/>
      <c r="O9" s="10"/>
    </row>
    <row r="10" spans="1:15" ht="21.75" customHeight="1" x14ac:dyDescent="0.3">
      <c r="A10" s="11" t="s">
        <v>208</v>
      </c>
      <c r="B10" s="4" t="s">
        <v>24</v>
      </c>
      <c r="C10" s="43">
        <f>VLOOKUP($C$2,통합!A2:J52,6,FALSE)</f>
        <v>5</v>
      </c>
      <c r="D10" s="43"/>
      <c r="E10" s="43"/>
      <c r="F10" s="43"/>
      <c r="G10" s="43"/>
      <c r="H10" s="43"/>
      <c r="I10" s="44"/>
      <c r="J10" s="45"/>
      <c r="K10" s="45"/>
      <c r="L10" s="10"/>
      <c r="M10" s="10"/>
      <c r="N10" s="10"/>
      <c r="O10" s="10"/>
    </row>
    <row r="11" spans="1:15" ht="21.75" customHeight="1" x14ac:dyDescent="0.3">
      <c r="A11" s="11" t="s">
        <v>174</v>
      </c>
      <c r="B11" s="4" t="s">
        <v>15</v>
      </c>
      <c r="C11" s="48" t="str">
        <f>F78&amp;"시간( "&amp;K131&amp;"일)"</f>
        <v>1시간( 3일)</v>
      </c>
      <c r="D11" s="48"/>
      <c r="E11" s="48"/>
      <c r="F11" s="48"/>
      <c r="G11" s="48"/>
      <c r="H11" s="48"/>
      <c r="I11" s="49"/>
      <c r="J11" s="18" t="s">
        <v>175</v>
      </c>
      <c r="K11" s="18"/>
      <c r="L11" s="10"/>
      <c r="M11" s="10"/>
      <c r="N11" s="10"/>
      <c r="O11" s="10"/>
    </row>
    <row r="12" spans="1:15" ht="28.5" customHeight="1" x14ac:dyDescent="0.3">
      <c r="A12" s="50" t="s">
        <v>232</v>
      </c>
      <c r="B12" s="50"/>
      <c r="C12" s="50"/>
      <c r="D12" s="50"/>
      <c r="E12" s="50"/>
      <c r="F12" s="50"/>
      <c r="G12" s="50"/>
      <c r="H12" s="50"/>
      <c r="I12" s="50"/>
      <c r="J12" s="50"/>
      <c r="K12" s="51"/>
      <c r="L12" s="10"/>
      <c r="M12" s="10"/>
      <c r="N12" s="10"/>
      <c r="O12" s="10"/>
    </row>
    <row r="13" spans="1:15" ht="21.75" customHeight="1" x14ac:dyDescent="0.3">
      <c r="A13" s="11" t="s">
        <v>172</v>
      </c>
      <c r="B13" s="4" t="s">
        <v>21</v>
      </c>
      <c r="C13" s="43" t="s">
        <v>582</v>
      </c>
      <c r="D13" s="43"/>
      <c r="E13" s="43"/>
      <c r="F13" s="43"/>
      <c r="G13" s="43"/>
      <c r="H13" s="43"/>
      <c r="I13" s="44"/>
      <c r="J13" s="45" t="s">
        <v>37</v>
      </c>
      <c r="K13" s="45"/>
      <c r="L13" s="10"/>
      <c r="M13" s="10"/>
      <c r="N13" s="10"/>
      <c r="O13" s="10"/>
    </row>
    <row r="14" spans="1:15" ht="21.75" customHeight="1" x14ac:dyDescent="0.3">
      <c r="A14" s="11" t="s">
        <v>222</v>
      </c>
      <c r="B14" s="4" t="s">
        <v>223</v>
      </c>
      <c r="C14" s="43" t="s">
        <v>583</v>
      </c>
      <c r="D14" s="43"/>
      <c r="E14" s="43"/>
      <c r="F14" s="43"/>
      <c r="G14" s="43"/>
      <c r="H14" s="43"/>
      <c r="I14" s="44"/>
      <c r="J14" s="45" t="s">
        <v>224</v>
      </c>
      <c r="K14" s="45"/>
      <c r="L14" s="10"/>
      <c r="M14" s="10"/>
      <c r="N14" s="10"/>
      <c r="O14" s="10"/>
    </row>
    <row r="15" spans="1:15" ht="21.75" customHeight="1" x14ac:dyDescent="0.3">
      <c r="A15" s="11" t="s">
        <v>182</v>
      </c>
      <c r="B15" s="4" t="s">
        <v>178</v>
      </c>
      <c r="C15" s="43" t="s">
        <v>535</v>
      </c>
      <c r="D15" s="43"/>
      <c r="E15" s="43"/>
      <c r="F15" s="43"/>
      <c r="G15" s="43"/>
      <c r="H15" s="43"/>
      <c r="I15" s="44"/>
      <c r="J15" s="45" t="s">
        <v>177</v>
      </c>
      <c r="K15" s="45"/>
      <c r="L15" s="10"/>
      <c r="M15" s="10"/>
      <c r="N15" s="10"/>
      <c r="O15" s="10"/>
    </row>
    <row r="16" spans="1:15" ht="21.75" customHeight="1" x14ac:dyDescent="0.3">
      <c r="A16" s="11" t="s">
        <v>181</v>
      </c>
      <c r="B16" s="4" t="s">
        <v>179</v>
      </c>
      <c r="C16" s="43" t="s">
        <v>584</v>
      </c>
      <c r="D16" s="43"/>
      <c r="E16" s="43"/>
      <c r="F16" s="43"/>
      <c r="G16" s="43"/>
      <c r="H16" s="43"/>
      <c r="I16" s="44"/>
      <c r="J16" s="45" t="s">
        <v>180</v>
      </c>
      <c r="K16" s="45"/>
      <c r="L16" s="10"/>
      <c r="M16" s="10"/>
      <c r="N16" s="10"/>
      <c r="O16" s="10"/>
    </row>
    <row r="17" spans="1:15" ht="48.75" customHeight="1" x14ac:dyDescent="0.3">
      <c r="A17" s="11" t="s">
        <v>171</v>
      </c>
      <c r="B17" s="4" t="s">
        <v>206</v>
      </c>
      <c r="C17" s="43" t="s">
        <v>655</v>
      </c>
      <c r="D17" s="43"/>
      <c r="E17" s="43"/>
      <c r="F17" s="43"/>
      <c r="G17" s="43"/>
      <c r="H17" s="43"/>
      <c r="I17" s="44"/>
      <c r="J17" s="45" t="s">
        <v>170</v>
      </c>
      <c r="K17" s="45"/>
      <c r="L17" s="10"/>
      <c r="M17" s="10"/>
      <c r="N17" s="10"/>
      <c r="O17" s="10"/>
    </row>
    <row r="18" spans="1:15" ht="48.75" customHeight="1" x14ac:dyDescent="0.3">
      <c r="A18" s="11" t="s">
        <v>183</v>
      </c>
      <c r="B18" s="4" t="s">
        <v>207</v>
      </c>
      <c r="C18" s="43" t="s">
        <v>585</v>
      </c>
      <c r="D18" s="43"/>
      <c r="E18" s="43"/>
      <c r="F18" s="43"/>
      <c r="G18" s="43"/>
      <c r="H18" s="43"/>
      <c r="I18" s="44"/>
      <c r="J18" s="45" t="s">
        <v>170</v>
      </c>
      <c r="K18" s="45"/>
      <c r="L18" s="10"/>
      <c r="M18" s="10"/>
      <c r="N18" s="10"/>
      <c r="O18" s="10"/>
    </row>
    <row r="19" spans="1:15" ht="44.25" customHeight="1" x14ac:dyDescent="0.3">
      <c r="A19" s="11" t="s">
        <v>209</v>
      </c>
      <c r="B19" s="4" t="s">
        <v>22</v>
      </c>
      <c r="C19" s="47" t="s">
        <v>656</v>
      </c>
      <c r="D19" s="43"/>
      <c r="E19" s="43"/>
      <c r="F19" s="43"/>
      <c r="G19" s="43"/>
      <c r="H19" s="43"/>
      <c r="I19" s="44"/>
      <c r="J19" s="45" t="s">
        <v>39</v>
      </c>
      <c r="K19" s="45"/>
      <c r="L19" s="10"/>
      <c r="M19" s="10"/>
      <c r="N19" s="10"/>
      <c r="O19" s="10"/>
    </row>
    <row r="20" spans="1:15" ht="28.5" customHeight="1" x14ac:dyDescent="0.3">
      <c r="A20" s="11" t="s">
        <v>212</v>
      </c>
      <c r="B20" s="4" t="s">
        <v>25</v>
      </c>
      <c r="C20" s="43" t="s">
        <v>586</v>
      </c>
      <c r="D20" s="43"/>
      <c r="E20" s="43"/>
      <c r="F20" s="43"/>
      <c r="G20" s="43"/>
      <c r="H20" s="43"/>
      <c r="I20" s="44"/>
      <c r="J20" s="45" t="s">
        <v>40</v>
      </c>
      <c r="K20" s="45"/>
      <c r="L20" s="10"/>
      <c r="M20" s="10"/>
      <c r="N20" s="10"/>
      <c r="O20" s="10"/>
    </row>
    <row r="21" spans="1:15" ht="78" customHeight="1" x14ac:dyDescent="0.3">
      <c r="A21" s="11" t="s">
        <v>213</v>
      </c>
      <c r="B21" s="4" t="s">
        <v>27</v>
      </c>
      <c r="C21" s="47" t="s">
        <v>657</v>
      </c>
      <c r="D21" s="43"/>
      <c r="E21" s="43"/>
      <c r="F21" s="43"/>
      <c r="G21" s="43"/>
      <c r="H21" s="43"/>
      <c r="I21" s="44"/>
      <c r="J21" s="45" t="s">
        <v>41</v>
      </c>
      <c r="K21" s="45"/>
      <c r="L21" s="10"/>
      <c r="M21" s="10"/>
      <c r="N21" s="10"/>
      <c r="O21" s="10"/>
    </row>
    <row r="22" spans="1:15" ht="62.25" customHeight="1" x14ac:dyDescent="0.3">
      <c r="A22" s="11" t="s">
        <v>214</v>
      </c>
      <c r="B22" s="52" t="s">
        <v>28</v>
      </c>
      <c r="C22" s="47" t="s">
        <v>658</v>
      </c>
      <c r="D22" s="43"/>
      <c r="E22" s="43"/>
      <c r="F22" s="43"/>
      <c r="G22" s="43"/>
      <c r="H22" s="43"/>
      <c r="I22" s="44"/>
      <c r="J22" s="45" t="s">
        <v>217</v>
      </c>
      <c r="K22" s="45"/>
      <c r="L22" s="10"/>
      <c r="M22" s="10"/>
      <c r="N22" s="10"/>
      <c r="O22" s="10"/>
    </row>
    <row r="23" spans="1:15" ht="62.25" customHeight="1" x14ac:dyDescent="0.3">
      <c r="A23" s="11" t="s">
        <v>215</v>
      </c>
      <c r="B23" s="52"/>
      <c r="C23" s="47" t="s">
        <v>659</v>
      </c>
      <c r="D23" s="43"/>
      <c r="E23" s="43"/>
      <c r="F23" s="43"/>
      <c r="G23" s="43"/>
      <c r="H23" s="43"/>
      <c r="I23" s="44"/>
      <c r="J23" s="45" t="s">
        <v>218</v>
      </c>
      <c r="K23" s="45"/>
      <c r="L23" s="10"/>
      <c r="M23" s="10"/>
      <c r="N23" s="10"/>
      <c r="O23" s="10"/>
    </row>
    <row r="24" spans="1:15" ht="62.25" customHeight="1" x14ac:dyDescent="0.3">
      <c r="A24" s="11" t="s">
        <v>216</v>
      </c>
      <c r="B24" s="52"/>
      <c r="C24" s="47" t="s">
        <v>660</v>
      </c>
      <c r="D24" s="43"/>
      <c r="E24" s="43"/>
      <c r="F24" s="43"/>
      <c r="G24" s="43"/>
      <c r="H24" s="43"/>
      <c r="I24" s="44"/>
      <c r="J24" s="45" t="s">
        <v>219</v>
      </c>
      <c r="K24" s="45"/>
      <c r="L24" s="10"/>
      <c r="M24" s="10"/>
      <c r="N24" s="10"/>
      <c r="O24" s="10"/>
    </row>
    <row r="25" spans="1:15" ht="83.25" customHeight="1" x14ac:dyDescent="0.3">
      <c r="A25" s="11" t="s">
        <v>220</v>
      </c>
      <c r="B25" s="6" t="s">
        <v>29</v>
      </c>
      <c r="C25" s="47" t="s">
        <v>661</v>
      </c>
      <c r="D25" s="43"/>
      <c r="E25" s="43"/>
      <c r="F25" s="43"/>
      <c r="G25" s="43"/>
      <c r="H25" s="43"/>
      <c r="I25" s="44"/>
      <c r="J25" s="45" t="s">
        <v>45</v>
      </c>
      <c r="K25" s="45"/>
      <c r="L25" s="10"/>
      <c r="M25" s="10"/>
      <c r="N25" s="10"/>
      <c r="O25" s="10"/>
    </row>
    <row r="26" spans="1:15" ht="47.25" customHeight="1" x14ac:dyDescent="0.3">
      <c r="A26" s="11" t="s">
        <v>225</v>
      </c>
      <c r="B26" s="6" t="s">
        <v>46</v>
      </c>
      <c r="C26" s="47" t="s">
        <v>662</v>
      </c>
      <c r="D26" s="43"/>
      <c r="E26" s="43"/>
      <c r="F26" s="43"/>
      <c r="G26" s="43"/>
      <c r="H26" s="43"/>
      <c r="I26" s="44"/>
      <c r="J26" s="45" t="s">
        <v>519</v>
      </c>
      <c r="K26" s="45"/>
      <c r="L26" s="10"/>
      <c r="M26" s="10"/>
      <c r="N26" s="10"/>
      <c r="O26" s="10"/>
    </row>
    <row r="27" spans="1:15" ht="29.25" customHeight="1" x14ac:dyDescent="0.3">
      <c r="A27" s="11" t="s">
        <v>221</v>
      </c>
      <c r="B27" s="4" t="s">
        <v>26</v>
      </c>
      <c r="C27" s="43" t="s">
        <v>48</v>
      </c>
      <c r="D27" s="43"/>
      <c r="E27" s="43"/>
      <c r="F27" s="43"/>
      <c r="G27" s="43"/>
      <c r="H27" s="43"/>
      <c r="I27" s="44"/>
      <c r="J27" s="45" t="s">
        <v>48</v>
      </c>
      <c r="K27" s="45"/>
      <c r="L27" s="10"/>
      <c r="M27" s="10"/>
      <c r="N27" s="10"/>
      <c r="O27" s="10"/>
    </row>
    <row r="28" spans="1:15" ht="218.25" customHeight="1" x14ac:dyDescent="0.3">
      <c r="A28" s="11" t="s">
        <v>739</v>
      </c>
      <c r="B28" s="41" t="s">
        <v>227</v>
      </c>
      <c r="C28" s="53" t="s">
        <v>587</v>
      </c>
      <c r="D28" s="54"/>
      <c r="E28" s="54"/>
      <c r="F28" s="54"/>
      <c r="G28" s="54"/>
      <c r="H28" s="54"/>
      <c r="I28" s="55"/>
      <c r="J28" s="45" t="s">
        <v>228</v>
      </c>
      <c r="K28" s="45"/>
      <c r="L28" s="10"/>
      <c r="M28" s="10"/>
      <c r="N28" s="10"/>
      <c r="O28" s="10"/>
    </row>
    <row r="29" spans="1:15" ht="218.25" customHeight="1" x14ac:dyDescent="0.3">
      <c r="A29" s="11" t="s">
        <v>740</v>
      </c>
      <c r="B29" s="77" t="s">
        <v>741</v>
      </c>
      <c r="C29" s="47"/>
      <c r="D29" s="43"/>
      <c r="E29" s="43"/>
      <c r="F29" s="43"/>
      <c r="G29" s="43"/>
      <c r="H29" s="43"/>
      <c r="I29" s="44"/>
      <c r="J29" s="45" t="s">
        <v>742</v>
      </c>
      <c r="K29" s="45"/>
      <c r="L29" s="10"/>
      <c r="M29" s="10"/>
      <c r="N29" s="10"/>
      <c r="O29" s="10"/>
    </row>
    <row r="30" spans="1:15" ht="218.25" customHeight="1" x14ac:dyDescent="0.3">
      <c r="A30" s="11" t="s">
        <v>743</v>
      </c>
      <c r="B30" s="77" t="s">
        <v>744</v>
      </c>
      <c r="C30" s="47"/>
      <c r="D30" s="43"/>
      <c r="E30" s="43"/>
      <c r="F30" s="43"/>
      <c r="G30" s="43"/>
      <c r="H30" s="43"/>
      <c r="I30" s="44"/>
      <c r="J30" s="45" t="s">
        <v>745</v>
      </c>
      <c r="K30" s="45"/>
      <c r="L30" s="10"/>
      <c r="M30" s="10"/>
      <c r="N30" s="10"/>
      <c r="O30" s="10"/>
    </row>
    <row r="31" spans="1:15" ht="29.25" customHeight="1" x14ac:dyDescent="0.3">
      <c r="A31" s="15" t="s">
        <v>495</v>
      </c>
      <c r="B31" s="33" t="s">
        <v>496</v>
      </c>
      <c r="C31" s="43" t="str">
        <f>F78&amp;"시간 (100%)"</f>
        <v>1시간 (100%)</v>
      </c>
      <c r="D31" s="43"/>
      <c r="E31" s="43"/>
      <c r="F31" s="43"/>
      <c r="G31" s="43"/>
      <c r="H31" s="43"/>
      <c r="I31" s="43"/>
      <c r="J31" s="40"/>
      <c r="K31" s="40"/>
      <c r="L31" s="10"/>
      <c r="M31" s="10"/>
      <c r="N31" s="10"/>
      <c r="O31" s="10"/>
    </row>
    <row r="32" spans="1:15" ht="22.5" customHeight="1" x14ac:dyDescent="0.3">
      <c r="A32" s="15" t="s">
        <v>499</v>
      </c>
      <c r="B32" s="33" t="s">
        <v>497</v>
      </c>
      <c r="C32" s="43">
        <f>COUNTA(G82:G90)</f>
        <v>1</v>
      </c>
      <c r="D32" s="43"/>
      <c r="E32" s="43"/>
      <c r="F32" s="43"/>
      <c r="G32" s="43"/>
      <c r="H32" s="43"/>
      <c r="I32" s="43"/>
      <c r="J32" s="56"/>
      <c r="K32" s="57"/>
    </row>
    <row r="33" spans="1:11" ht="22.5" customHeight="1" x14ac:dyDescent="0.3">
      <c r="A33" s="15" t="s">
        <v>500</v>
      </c>
      <c r="B33" s="33" t="s">
        <v>498</v>
      </c>
      <c r="C33" s="43">
        <f>COUNTA(G92:G100)</f>
        <v>0</v>
      </c>
      <c r="D33" s="43"/>
      <c r="E33" s="43"/>
      <c r="F33" s="43"/>
      <c r="G33" s="43"/>
      <c r="H33" s="43"/>
      <c r="I33" s="43"/>
      <c r="J33" s="56"/>
      <c r="K33" s="57"/>
    </row>
    <row r="34" spans="1:11" ht="22.5" customHeight="1" x14ac:dyDescent="0.3">
      <c r="A34" s="15" t="s">
        <v>504</v>
      </c>
      <c r="B34" s="33" t="s">
        <v>501</v>
      </c>
      <c r="C34" s="43">
        <f>COUNTA(G102:G110)</f>
        <v>0</v>
      </c>
      <c r="D34" s="43"/>
      <c r="E34" s="43"/>
      <c r="F34" s="43"/>
      <c r="G34" s="43"/>
      <c r="H34" s="43"/>
      <c r="I34" s="43"/>
      <c r="J34" s="56"/>
      <c r="K34" s="57"/>
    </row>
    <row r="35" spans="1:11" ht="22.5" customHeight="1" x14ac:dyDescent="0.3">
      <c r="A35" s="15" t="s">
        <v>505</v>
      </c>
      <c r="B35" s="33" t="s">
        <v>502</v>
      </c>
      <c r="C35" s="43">
        <f>COUNTA(G112:G120)</f>
        <v>0</v>
      </c>
      <c r="D35" s="43"/>
      <c r="E35" s="43"/>
      <c r="F35" s="43"/>
      <c r="G35" s="43"/>
      <c r="H35" s="43"/>
      <c r="I35" s="43"/>
      <c r="J35" s="56"/>
      <c r="K35" s="57"/>
    </row>
    <row r="36" spans="1:11" ht="22.5" customHeight="1" x14ac:dyDescent="0.3">
      <c r="A36" s="15" t="s">
        <v>506</v>
      </c>
      <c r="B36" s="33" t="s">
        <v>503</v>
      </c>
      <c r="C36" s="43">
        <f>COUNTA(G122:G130)</f>
        <v>0</v>
      </c>
      <c r="D36" s="43"/>
      <c r="E36" s="43"/>
      <c r="F36" s="43"/>
      <c r="G36" s="43"/>
      <c r="H36" s="43"/>
      <c r="I36" s="43"/>
      <c r="J36" s="56"/>
      <c r="K36" s="57"/>
    </row>
    <row r="37" spans="1:11" ht="69" customHeight="1" x14ac:dyDescent="0.3">
      <c r="A37" s="11" t="s">
        <v>507</v>
      </c>
      <c r="B37" s="33" t="s">
        <v>514</v>
      </c>
      <c r="C37" s="43" t="str">
        <f>K82</f>
        <v>QMS 문서의 유형(SOP, CAPA, 내부감사 등)과 구조를 분석하고, 각 문서 유형별 작성 요건과 실무에서의 문서 작성 흐름을 이해한다. ISO 13485 요구사항의 핵심 조항을 분석·해설하고, ISO 요구사항과 문서 항목 간 매핑 체계를 직접 설계하는 실습을 진행한다. 매핑 결과를 검토하고 실제 문서에 적용하는 토론을 통해 QMS 문서 자동화의 기반을 다진다.</v>
      </c>
      <c r="D37" s="43"/>
      <c r="E37" s="43"/>
      <c r="F37" s="43"/>
      <c r="G37" s="43"/>
      <c r="H37" s="43"/>
      <c r="I37" s="43"/>
      <c r="J37" s="56"/>
      <c r="K37" s="57"/>
    </row>
    <row r="38" spans="1:11" ht="69" customHeight="1" x14ac:dyDescent="0.3">
      <c r="A38" s="11" t="s">
        <v>508</v>
      </c>
      <c r="B38" s="33" t="s">
        <v>515</v>
      </c>
      <c r="C38" s="43" t="str">
        <f>K92</f>
        <v>ChatGPT를 활용한 프롬프트 설계의 원리와 기법을 학습하고, 기존 QMS 문서(SOP, CAPA 등)를 프롬프트 설계를 통해 생성하는 실습을 진행한다. 생성된 문서의 품질을 검토하고 프롬프트를 최적화하는 심화 실습 후, Office for Claude를 활용하여 SOP·CAPA 문서 템플릿을 직접 설계하는 실습을 수행하여 프롬프트 기반 문서 생성과 템플릿화 능력을 함양한다.</v>
      </c>
      <c r="D38" s="43"/>
      <c r="E38" s="43"/>
      <c r="F38" s="43"/>
      <c r="G38" s="43"/>
      <c r="H38" s="43"/>
      <c r="I38" s="43"/>
      <c r="J38" s="56"/>
      <c r="K38" s="57"/>
    </row>
    <row r="39" spans="1:11" ht="69" customHeight="1" x14ac:dyDescent="0.3">
      <c r="A39" s="11" t="s">
        <v>509</v>
      </c>
      <c r="B39" s="33" t="s">
        <v>516</v>
      </c>
      <c r="C39" s="43" t="str">
        <f>K102</f>
        <v>Office for Claude를 활용하여 문서 AI 자동화 체계를 설계하고 문서 자동 생성·검증 기능을 구현하는 실습을 진행한다. 문서 작성부터 검증까지의 전체 프로세스를 통합한 자동 흐름을 설계하고, 3일간의 학습 내용을 종합하여 문서 템플릿, AI 자동화 구현물, 자동 흐름 설계서를 최종 산출물로 완성한다. 팀별 발표와 피드백을 통해 현업 적용 전략을 수립한다.</v>
      </c>
      <c r="D39" s="43"/>
      <c r="E39" s="43"/>
      <c r="F39" s="43"/>
      <c r="G39" s="43"/>
      <c r="H39" s="43"/>
      <c r="I39" s="43"/>
      <c r="J39" s="56"/>
      <c r="K39" s="57"/>
    </row>
    <row r="40" spans="1:11" ht="69" customHeight="1" x14ac:dyDescent="0.3">
      <c r="A40" s="11" t="s">
        <v>510</v>
      </c>
      <c r="B40" s="33" t="s">
        <v>517</v>
      </c>
      <c r="C40" s="43">
        <f>K112</f>
        <v>0</v>
      </c>
      <c r="D40" s="43"/>
      <c r="E40" s="43"/>
      <c r="F40" s="43"/>
      <c r="G40" s="43"/>
      <c r="H40" s="43"/>
      <c r="I40" s="43"/>
      <c r="J40" s="56"/>
      <c r="K40" s="57"/>
    </row>
    <row r="41" spans="1:11" ht="69" customHeight="1" x14ac:dyDescent="0.3">
      <c r="A41" s="11" t="s">
        <v>511</v>
      </c>
      <c r="B41" s="33" t="s">
        <v>518</v>
      </c>
      <c r="C41" s="43">
        <f>K122</f>
        <v>0</v>
      </c>
      <c r="D41" s="43"/>
      <c r="E41" s="43"/>
      <c r="F41" s="43"/>
      <c r="G41" s="43"/>
      <c r="H41" s="43"/>
      <c r="I41" s="43"/>
      <c r="J41" s="56"/>
      <c r="K41" s="57"/>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f>VLOOKUP(J46,통합!$A$2:$I$43,6,FALSE)</f>
        <v>4</v>
      </c>
      <c r="E46" s="31" t="str">
        <f>VLOOKUP(J46,통합!$A$2:$I$43,8,FALSE)</f>
        <v>01</v>
      </c>
      <c r="F46" s="8">
        <f>IF(COUNTIF($D$81:$D$130,D46)=0,"",COUNTIF($D$81:$D$130,D46))</f>
        <v>1</v>
      </c>
      <c r="G46" s="13" t="s">
        <v>50</v>
      </c>
      <c r="H46" s="13" t="s">
        <v>51</v>
      </c>
      <c r="I46" s="8">
        <f>IF(COUNTIF($G$81:$G$130,G46)=0,"",COUNTIF($G$81:$G$130,G46))</f>
        <v>1</v>
      </c>
      <c r="J46" s="11" t="s">
        <v>211</v>
      </c>
    </row>
    <row r="47" spans="1:11" ht="22.5" customHeight="1" x14ac:dyDescent="0.3">
      <c r="C47" s="9">
        <f t="shared" ref="C47:C77" si="0">IFERROR(G47,"")</f>
        <v>0</v>
      </c>
      <c r="D47" s="31"/>
      <c r="E47" s="31"/>
      <c r="F47" s="8" t="str">
        <f t="shared" ref="F47:F77" si="1">IF(COUNTIF($D$81:$D$130,D47)=0,"",COUNTIF($D$81:$D$130,D47))</f>
        <v/>
      </c>
      <c r="G47" s="13"/>
      <c r="H47" s="13"/>
      <c r="I47" s="8" t="str">
        <f t="shared" ref="I47:I77" si="2">IF(COUNTIF($G$81:$G$130,G47)=0,"",COUNTIF($G$81:$G$130,G47))</f>
        <v/>
      </c>
    </row>
    <row r="48" spans="1:11" ht="22.5" customHeight="1" x14ac:dyDescent="0.3">
      <c r="C48" s="9">
        <f t="shared" si="0"/>
        <v>0</v>
      </c>
      <c r="D48" s="31"/>
      <c r="E48" s="31"/>
      <c r="F48" s="8" t="str">
        <f t="shared" si="1"/>
        <v/>
      </c>
      <c r="G48" s="14"/>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 t="shared" si="2"/>
        <v/>
      </c>
    </row>
    <row r="65" spans="3:9" ht="22.5" customHeight="1" x14ac:dyDescent="0.3">
      <c r="C65" s="9">
        <f t="shared" si="0"/>
        <v>0</v>
      </c>
      <c r="D65" s="31"/>
      <c r="E65" s="31"/>
      <c r="F65" s="8" t="str">
        <f t="shared" si="1"/>
        <v/>
      </c>
      <c r="G65" s="13"/>
      <c r="H65" s="13"/>
      <c r="I65" s="8" t="str">
        <f t="shared" si="2"/>
        <v/>
      </c>
    </row>
    <row r="66" spans="3:9" ht="22.5" customHeight="1" x14ac:dyDescent="0.3">
      <c r="C66" s="9">
        <f t="shared" si="0"/>
        <v>0</v>
      </c>
      <c r="D66" s="31"/>
      <c r="E66" s="31"/>
      <c r="F66" s="8" t="str">
        <f t="shared" si="1"/>
        <v/>
      </c>
      <c r="G66" s="13"/>
      <c r="H66" s="13"/>
      <c r="I66" s="8" t="str">
        <f>IF(COUNTIF($G$81:$G$130,#REF!)=0,"",COUNTIF($G$81:$G$130,#REF!))</f>
        <v/>
      </c>
    </row>
    <row r="67" spans="3:9" ht="22.5" customHeight="1" x14ac:dyDescent="0.3">
      <c r="C67" s="9">
        <f t="shared" si="0"/>
        <v>0</v>
      </c>
      <c r="D67" s="31"/>
      <c r="E67" s="31"/>
      <c r="F67" s="8" t="str">
        <f t="shared" si="1"/>
        <v/>
      </c>
      <c r="H67" s="13"/>
      <c r="I67" s="8" t="str">
        <f>IF(COUNTIF($G$81:$G$130,G66)=0,"",COUNTIF($G$81:$G$130,G66))</f>
        <v/>
      </c>
    </row>
    <row r="68" spans="3:9" ht="22.5" customHeight="1" x14ac:dyDescent="0.3">
      <c r="C68" s="9">
        <f t="shared" si="0"/>
        <v>0</v>
      </c>
      <c r="D68" s="31"/>
      <c r="E68" s="31"/>
      <c r="F68" s="8" t="str">
        <f t="shared" si="1"/>
        <v/>
      </c>
      <c r="G68" s="13"/>
      <c r="H68" s="13"/>
      <c r="I68" s="8" t="str">
        <f t="shared" si="2"/>
        <v/>
      </c>
    </row>
    <row r="69" spans="3:9" ht="22.5" customHeight="1" x14ac:dyDescent="0.3">
      <c r="C69" s="9">
        <f t="shared" si="0"/>
        <v>0</v>
      </c>
      <c r="D69" s="31"/>
      <c r="E69" s="31"/>
      <c r="F69" s="8" t="str">
        <f t="shared" si="1"/>
        <v/>
      </c>
      <c r="G69" s="13"/>
      <c r="H69" s="13"/>
      <c r="I69" s="8" t="str">
        <f t="shared" si="2"/>
        <v/>
      </c>
    </row>
    <row r="70" spans="3:9" ht="22.5" customHeight="1" x14ac:dyDescent="0.3">
      <c r="C70" s="9">
        <f t="shared" si="0"/>
        <v>0</v>
      </c>
      <c r="D70" s="31"/>
      <c r="E70" s="31"/>
      <c r="F70" s="8" t="str">
        <f t="shared" si="1"/>
        <v/>
      </c>
      <c r="G70" s="13"/>
      <c r="H70" s="13"/>
      <c r="I70" s="8" t="str">
        <f t="shared" si="2"/>
        <v/>
      </c>
    </row>
    <row r="71" spans="3:9" ht="22.5" customHeight="1" x14ac:dyDescent="0.3">
      <c r="C71" s="9">
        <f t="shared" si="0"/>
        <v>0</v>
      </c>
      <c r="D71" s="31"/>
      <c r="E71" s="31"/>
      <c r="F71" s="8" t="str">
        <f t="shared" si="1"/>
        <v/>
      </c>
      <c r="G71" s="13"/>
      <c r="H71" s="13"/>
      <c r="I71" s="8" t="str">
        <f t="shared" si="2"/>
        <v/>
      </c>
    </row>
    <row r="72" spans="3:9" ht="22.5" customHeight="1" x14ac:dyDescent="0.3">
      <c r="C72" s="9">
        <f t="shared" si="0"/>
        <v>0</v>
      </c>
      <c r="D72" s="31"/>
      <c r="E72" s="31"/>
      <c r="F72" s="8" t="str">
        <f t="shared" si="1"/>
        <v/>
      </c>
      <c r="G72" s="13"/>
      <c r="H72" s="13"/>
      <c r="I72" s="8" t="str">
        <f t="shared" si="2"/>
        <v/>
      </c>
    </row>
    <row r="73" spans="3:9" ht="22.5" customHeight="1" x14ac:dyDescent="0.3">
      <c r="C73" s="9">
        <f t="shared" si="0"/>
        <v>0</v>
      </c>
      <c r="D73" s="31"/>
      <c r="E73" s="31"/>
      <c r="F73" s="8" t="str">
        <f t="shared" si="1"/>
        <v/>
      </c>
      <c r="G73" s="13"/>
      <c r="H73" s="13"/>
      <c r="I73" s="8" t="str">
        <f t="shared" si="2"/>
        <v/>
      </c>
    </row>
    <row r="74" spans="3:9" ht="22.5" customHeight="1" x14ac:dyDescent="0.3">
      <c r="C74" s="9">
        <f t="shared" si="0"/>
        <v>0</v>
      </c>
      <c r="D74" s="31"/>
      <c r="E74" s="31"/>
      <c r="F74" s="8" t="str">
        <f t="shared" si="1"/>
        <v/>
      </c>
      <c r="G74" s="13"/>
      <c r="H74" s="13"/>
      <c r="I74" s="8" t="str">
        <f t="shared" si="2"/>
        <v/>
      </c>
    </row>
    <row r="75" spans="3:9" ht="22.5" customHeight="1" x14ac:dyDescent="0.3">
      <c r="C75" s="9">
        <f t="shared" si="0"/>
        <v>0</v>
      </c>
      <c r="D75" s="31"/>
      <c r="E75" s="31"/>
      <c r="F75" s="8" t="str">
        <f t="shared" si="1"/>
        <v/>
      </c>
      <c r="G75" s="13"/>
      <c r="H75" s="13"/>
      <c r="I75" s="8" t="str">
        <f t="shared" si="2"/>
        <v/>
      </c>
    </row>
    <row r="76" spans="3:9" ht="22.5" customHeight="1" x14ac:dyDescent="0.3">
      <c r="C76" s="9">
        <f t="shared" si="0"/>
        <v>0</v>
      </c>
      <c r="D76" s="31"/>
      <c r="E76" s="31"/>
      <c r="F76" s="8" t="str">
        <f t="shared" si="1"/>
        <v/>
      </c>
      <c r="G76" s="13"/>
      <c r="H76" s="13"/>
      <c r="I76" s="8" t="str">
        <f t="shared" si="2"/>
        <v/>
      </c>
    </row>
    <row r="77" spans="3:9" ht="22.5" customHeight="1" x14ac:dyDescent="0.3">
      <c r="C77" s="9">
        <f t="shared" si="0"/>
        <v>0</v>
      </c>
      <c r="D77" s="32"/>
      <c r="E77" s="32"/>
      <c r="F77" s="29" t="str">
        <f t="shared" si="1"/>
        <v/>
      </c>
      <c r="G77" s="28"/>
      <c r="H77" s="28"/>
      <c r="I77" s="29" t="str">
        <f t="shared" si="2"/>
        <v/>
      </c>
    </row>
    <row r="78" spans="3:9" ht="22.5" customHeight="1" x14ac:dyDescent="0.3">
      <c r="C78" s="8" t="s">
        <v>173</v>
      </c>
      <c r="D78" s="13"/>
      <c r="E78" s="13"/>
      <c r="F78" s="30">
        <f>SUM(F46:F77)</f>
        <v>1</v>
      </c>
      <c r="G78" s="13"/>
      <c r="H78" s="13"/>
      <c r="I78" s="30">
        <f>SUM(I46:I77)</f>
        <v>1</v>
      </c>
    </row>
    <row r="79" spans="3:9" ht="22.5" customHeight="1" x14ac:dyDescent="0.3">
      <c r="C79" s="8"/>
      <c r="D79" s="13"/>
      <c r="E79" s="13"/>
      <c r="F79" s="8"/>
      <c r="G79" s="13"/>
      <c r="H79" s="13"/>
      <c r="I79" s="8"/>
    </row>
    <row r="80" spans="3:9" ht="22.5" customHeight="1" x14ac:dyDescent="0.3"/>
    <row r="81" spans="2:11" ht="22.5" customHeight="1" x14ac:dyDescent="0.3">
      <c r="B81" s="58" t="s">
        <v>9</v>
      </c>
      <c r="C81" s="5" t="s">
        <v>8</v>
      </c>
      <c r="D81" s="5" t="s">
        <v>10</v>
      </c>
      <c r="E81" s="61" t="s">
        <v>13</v>
      </c>
      <c r="F81" s="62"/>
      <c r="G81" s="12" t="s">
        <v>11</v>
      </c>
      <c r="H81" s="61" t="s">
        <v>12</v>
      </c>
      <c r="I81" s="62"/>
      <c r="J81" s="12" t="s">
        <v>14</v>
      </c>
      <c r="K81" s="12" t="s">
        <v>31</v>
      </c>
    </row>
    <row r="82" spans="2:11" ht="22.5" customHeight="1" x14ac:dyDescent="0.3">
      <c r="B82" s="59"/>
      <c r="C82" s="1" t="s">
        <v>0</v>
      </c>
      <c r="D82" s="8">
        <f>IF(VLOOKUP(G82,$C$46:$E$77,2,FALSE)="","",VLOOKUP(G82,$C$46:$E$77,2,FALSE))</f>
        <v>4</v>
      </c>
      <c r="E82" s="63" t="str">
        <f>IF(VLOOKUP(G82,$C$46:$E$77,3,FALSE)="","",VLOOKUP(G82,$C$46:$E$77,3,FALSE))</f>
        <v>01</v>
      </c>
      <c r="F82" s="64"/>
      <c r="G82" s="13" t="s">
        <v>50</v>
      </c>
      <c r="H82" s="63" t="str">
        <f>IFERROR(VLOOKUP(G82,$G$46:$H$77,2,FALSE),"")</f>
        <v>하드웨어 분석하기</v>
      </c>
      <c r="I82" s="64"/>
      <c r="J82" s="15" t="s">
        <v>663</v>
      </c>
      <c r="K82" s="53" t="s">
        <v>668</v>
      </c>
    </row>
    <row r="83" spans="2:11" ht="22.5" customHeight="1" x14ac:dyDescent="0.3">
      <c r="B83" s="59"/>
      <c r="C83" s="1" t="s">
        <v>1</v>
      </c>
      <c r="D83" s="8" t="str">
        <f t="shared" ref="D83:D84" si="3">IF(VLOOKUP(G83,$C$46:$E$77,2,FALSE)="","",VLOOKUP(G83,$C$46:$E$77,2,FALSE))</f>
        <v/>
      </c>
      <c r="E83" s="63" t="str">
        <f t="shared" ref="E83:E84" si="4">IF(VLOOKUP(G83,$C$46:$E$77,3,FALSE)="","",VLOOKUP(G83,$C$46:$E$77,3,FALSE))</f>
        <v/>
      </c>
      <c r="F83" s="64"/>
      <c r="G83" s="13"/>
      <c r="H83" s="63" t="str">
        <f t="shared" ref="H83:H90" si="5">IFERROR(VLOOKUP(G83,$G$46:$H$77,2,FALSE),"")</f>
        <v/>
      </c>
      <c r="I83" s="64"/>
      <c r="J83" s="15" t="s">
        <v>664</v>
      </c>
      <c r="K83" s="65"/>
    </row>
    <row r="84" spans="2:11" ht="22.5" customHeight="1" x14ac:dyDescent="0.3">
      <c r="B84" s="59"/>
      <c r="C84" s="1" t="s">
        <v>2</v>
      </c>
      <c r="D84" s="8" t="str">
        <f t="shared" si="3"/>
        <v/>
      </c>
      <c r="E84" s="63" t="str">
        <f t="shared" si="4"/>
        <v/>
      </c>
      <c r="F84" s="64"/>
      <c r="G84" s="13"/>
      <c r="H84" s="63" t="str">
        <f t="shared" si="5"/>
        <v/>
      </c>
      <c r="I84" s="64"/>
      <c r="J84" s="15" t="s">
        <v>665</v>
      </c>
      <c r="K84" s="65"/>
    </row>
    <row r="85" spans="2:11" ht="22.5" customHeight="1" x14ac:dyDescent="0.3">
      <c r="B85" s="59"/>
      <c r="C85" s="2" t="s">
        <v>18</v>
      </c>
      <c r="D85" s="7"/>
      <c r="E85" s="67"/>
      <c r="F85" s="68"/>
      <c r="G85" s="17"/>
      <c r="H85" s="67"/>
      <c r="I85" s="68"/>
      <c r="J85" s="16"/>
      <c r="K85" s="65"/>
    </row>
    <row r="86" spans="2:11" ht="22.5" customHeight="1" x14ac:dyDescent="0.3">
      <c r="B86" s="59"/>
      <c r="C86" s="1" t="s">
        <v>3</v>
      </c>
      <c r="D86" s="8" t="str">
        <f>IF(VLOOKUP(G86,$C$46:$E$77,2,FALSE)="","",VLOOKUP(G86,$C$46:$E$77,2,FALSE))</f>
        <v/>
      </c>
      <c r="E86" s="63" t="str">
        <f>IF(VLOOKUP(G86,$C$46:$E$77,3,FALSE)="","",VLOOKUP(G86,$C$46:$E$77,3,FALSE))</f>
        <v/>
      </c>
      <c r="F86" s="64"/>
      <c r="G86" s="13"/>
      <c r="H86" s="63" t="str">
        <f t="shared" si="5"/>
        <v/>
      </c>
      <c r="I86" s="64"/>
      <c r="J86" s="15" t="s">
        <v>588</v>
      </c>
      <c r="K86" s="65"/>
    </row>
    <row r="87" spans="2:11" ht="22.5" customHeight="1" x14ac:dyDescent="0.3">
      <c r="B87" s="59"/>
      <c r="C87" s="1" t="s">
        <v>4</v>
      </c>
      <c r="D87" s="8" t="str">
        <f t="shared" ref="D87:D90" si="6">IF(VLOOKUP(G87,$C$46:$E$77,2,FALSE)="","",VLOOKUP(G87,$C$46:$E$77,2,FALSE))</f>
        <v/>
      </c>
      <c r="E87" s="63" t="str">
        <f t="shared" ref="E87:E90" si="7">IF(VLOOKUP(G87,$C$46:$E$77,3,FALSE)="","",VLOOKUP(G87,$C$46:$E$77,3,FALSE))</f>
        <v/>
      </c>
      <c r="F87" s="64"/>
      <c r="G87" s="13"/>
      <c r="H87" s="63" t="str">
        <f t="shared" si="5"/>
        <v/>
      </c>
      <c r="I87" s="64"/>
      <c r="J87" s="15" t="s">
        <v>666</v>
      </c>
      <c r="K87" s="65"/>
    </row>
    <row r="88" spans="2:11" ht="22.5" customHeight="1" x14ac:dyDescent="0.3">
      <c r="B88" s="59"/>
      <c r="C88" s="1" t="s">
        <v>5</v>
      </c>
      <c r="D88" s="8" t="str">
        <f t="shared" si="6"/>
        <v/>
      </c>
      <c r="E88" s="63" t="str">
        <f t="shared" si="7"/>
        <v/>
      </c>
      <c r="F88" s="64"/>
      <c r="G88" s="13"/>
      <c r="H88" s="63" t="str">
        <f t="shared" si="5"/>
        <v/>
      </c>
      <c r="I88" s="64"/>
      <c r="J88" s="15" t="s">
        <v>667</v>
      </c>
      <c r="K88" s="65"/>
    </row>
    <row r="89" spans="2:11" ht="22.5" customHeight="1" x14ac:dyDescent="0.3">
      <c r="B89" s="59"/>
      <c r="C89" s="1" t="s">
        <v>6</v>
      </c>
      <c r="D89" s="8" t="str">
        <f t="shared" si="6"/>
        <v/>
      </c>
      <c r="E89" s="63" t="str">
        <f t="shared" si="7"/>
        <v/>
      </c>
      <c r="F89" s="64"/>
      <c r="G89" s="13"/>
      <c r="H89" s="63" t="str">
        <f t="shared" si="5"/>
        <v/>
      </c>
      <c r="I89" s="64"/>
      <c r="J89" s="15"/>
      <c r="K89" s="65"/>
    </row>
    <row r="90" spans="2:11" ht="22.5" customHeight="1" x14ac:dyDescent="0.3">
      <c r="B90" s="60"/>
      <c r="C90" s="1" t="s">
        <v>7</v>
      </c>
      <c r="D90" s="8" t="str">
        <f t="shared" si="6"/>
        <v/>
      </c>
      <c r="E90" s="63" t="str">
        <f t="shared" si="7"/>
        <v/>
      </c>
      <c r="F90" s="64"/>
      <c r="G90" s="13"/>
      <c r="H90" s="63" t="str">
        <f t="shared" si="5"/>
        <v/>
      </c>
      <c r="I90" s="64"/>
      <c r="J90" s="15"/>
      <c r="K90" s="66"/>
    </row>
    <row r="91" spans="2:11" ht="22.5" customHeight="1" x14ac:dyDescent="0.3">
      <c r="B91" s="58" t="s">
        <v>16</v>
      </c>
      <c r="C91" s="5" t="s">
        <v>8</v>
      </c>
      <c r="D91" s="5" t="s">
        <v>10</v>
      </c>
      <c r="E91" s="61" t="s">
        <v>13</v>
      </c>
      <c r="F91" s="62"/>
      <c r="G91" s="12" t="s">
        <v>11</v>
      </c>
      <c r="H91" s="61" t="s">
        <v>12</v>
      </c>
      <c r="I91" s="62"/>
      <c r="J91" s="12" t="s">
        <v>14</v>
      </c>
      <c r="K91" s="12" t="s">
        <v>32</v>
      </c>
    </row>
    <row r="92" spans="2:11" ht="22.5" customHeight="1" x14ac:dyDescent="0.3">
      <c r="B92" s="59"/>
      <c r="C92" s="1" t="s">
        <v>0</v>
      </c>
      <c r="D92" s="8" t="str">
        <f>IF(VLOOKUP(G92,$C$46:$E$77,2,FALSE)="","",VLOOKUP(G92,$C$46:$E$77,2,FALSE))</f>
        <v/>
      </c>
      <c r="E92" s="63" t="str">
        <f>IF(VLOOKUP(G92,$C$46:$E$77,3,FALSE)="","",VLOOKUP(G92,$C$46:$E$77,3,FALSE))</f>
        <v/>
      </c>
      <c r="F92" s="64"/>
      <c r="G92" s="13"/>
      <c r="H92" s="63" t="str">
        <f>IFERROR(VLOOKUP(G92,$G$46:$H$77,2,FALSE),"")</f>
        <v/>
      </c>
      <c r="I92" s="64"/>
      <c r="J92" s="15" t="s">
        <v>669</v>
      </c>
      <c r="K92" s="54" t="s">
        <v>675</v>
      </c>
    </row>
    <row r="93" spans="2:11" ht="22.5" customHeight="1" x14ac:dyDescent="0.3">
      <c r="B93" s="59"/>
      <c r="C93" s="1" t="s">
        <v>1</v>
      </c>
      <c r="D93" s="8" t="str">
        <f t="shared" ref="D93:D94" si="8">IF(VLOOKUP(G93,$C$46:$E$77,2,FALSE)="","",VLOOKUP(G93,$C$46:$E$77,2,FALSE))</f>
        <v/>
      </c>
      <c r="E93" s="63" t="str">
        <f t="shared" ref="E93:E94" si="9">IF(VLOOKUP(G93,$C$46:$E$77,3,FALSE)="","",VLOOKUP(G93,$C$46:$E$77,3,FALSE))</f>
        <v/>
      </c>
      <c r="F93" s="64"/>
      <c r="G93" s="13"/>
      <c r="H93" s="63" t="str">
        <f t="shared" ref="H93:H100" si="10">IFERROR(VLOOKUP(G93,$G$46:$H$77,2,FALSE),"")</f>
        <v/>
      </c>
      <c r="I93" s="64"/>
      <c r="J93" s="15" t="s">
        <v>670</v>
      </c>
      <c r="K93" s="65"/>
    </row>
    <row r="94" spans="2:11" ht="22.5" customHeight="1" x14ac:dyDescent="0.3">
      <c r="B94" s="59"/>
      <c r="C94" s="1" t="s">
        <v>2</v>
      </c>
      <c r="D94" s="8" t="str">
        <f t="shared" si="8"/>
        <v/>
      </c>
      <c r="E94" s="63" t="str">
        <f t="shared" si="9"/>
        <v/>
      </c>
      <c r="F94" s="64"/>
      <c r="G94" s="13"/>
      <c r="H94" s="63" t="str">
        <f t="shared" si="10"/>
        <v/>
      </c>
      <c r="I94" s="64"/>
      <c r="J94" s="15" t="s">
        <v>671</v>
      </c>
      <c r="K94" s="65"/>
    </row>
    <row r="95" spans="2:11" ht="22.5" customHeight="1" x14ac:dyDescent="0.3">
      <c r="B95" s="59"/>
      <c r="C95" s="2" t="s">
        <v>18</v>
      </c>
      <c r="D95" s="7"/>
      <c r="E95" s="67"/>
      <c r="F95" s="68"/>
      <c r="G95" s="17"/>
      <c r="H95" s="67"/>
      <c r="I95" s="68"/>
      <c r="J95" s="16"/>
      <c r="K95" s="65"/>
    </row>
    <row r="96" spans="2:11" ht="22.5" customHeight="1" x14ac:dyDescent="0.3">
      <c r="B96" s="59"/>
      <c r="C96" s="1" t="s">
        <v>3</v>
      </c>
      <c r="D96" s="8" t="str">
        <f>IF(VLOOKUP(G96,$C$46:$E$77,2,FALSE)="","",VLOOKUP(G96,$C$46:$E$77,2,FALSE))</f>
        <v/>
      </c>
      <c r="E96" s="63" t="str">
        <f>IF(VLOOKUP(G96,$C$46:$E$77,3,FALSE)="","",VLOOKUP(G96,$C$46:$E$77,3,FALSE))</f>
        <v/>
      </c>
      <c r="F96" s="64"/>
      <c r="G96" s="13"/>
      <c r="H96" s="63" t="str">
        <f t="shared" si="10"/>
        <v/>
      </c>
      <c r="I96" s="64"/>
      <c r="J96" s="15" t="s">
        <v>672</v>
      </c>
      <c r="K96" s="65"/>
    </row>
    <row r="97" spans="2:11" ht="22.5" customHeight="1" x14ac:dyDescent="0.3">
      <c r="B97" s="59"/>
      <c r="C97" s="1" t="s">
        <v>4</v>
      </c>
      <c r="D97" s="8" t="str">
        <f t="shared" ref="D97:D100" si="11">IF(VLOOKUP(G97,$C$46:$E$77,2,FALSE)="","",VLOOKUP(G97,$C$46:$E$77,2,FALSE))</f>
        <v/>
      </c>
      <c r="E97" s="63" t="str">
        <f t="shared" ref="E97:E100" si="12">IF(VLOOKUP(G97,$C$46:$E$77,3,FALSE)="","",VLOOKUP(G97,$C$46:$E$77,3,FALSE))</f>
        <v/>
      </c>
      <c r="F97" s="64"/>
      <c r="G97" s="13"/>
      <c r="H97" s="63" t="str">
        <f t="shared" si="10"/>
        <v/>
      </c>
      <c r="I97" s="64"/>
      <c r="J97" s="15" t="s">
        <v>673</v>
      </c>
      <c r="K97" s="65"/>
    </row>
    <row r="98" spans="2:11" ht="22.5" customHeight="1" x14ac:dyDescent="0.3">
      <c r="B98" s="59"/>
      <c r="C98" s="1" t="s">
        <v>5</v>
      </c>
      <c r="D98" s="8" t="str">
        <f t="shared" si="11"/>
        <v/>
      </c>
      <c r="E98" s="63" t="str">
        <f t="shared" si="12"/>
        <v/>
      </c>
      <c r="F98" s="64"/>
      <c r="G98" s="13"/>
      <c r="H98" s="63" t="str">
        <f t="shared" si="10"/>
        <v/>
      </c>
      <c r="I98" s="64"/>
      <c r="J98" s="15" t="s">
        <v>674</v>
      </c>
      <c r="K98" s="65"/>
    </row>
    <row r="99" spans="2:11" ht="22.5" customHeight="1" x14ac:dyDescent="0.3">
      <c r="B99" s="59"/>
      <c r="C99" s="1" t="s">
        <v>6</v>
      </c>
      <c r="D99" s="8" t="str">
        <f t="shared" si="11"/>
        <v/>
      </c>
      <c r="E99" s="63" t="str">
        <f t="shared" si="12"/>
        <v/>
      </c>
      <c r="F99" s="64"/>
      <c r="G99" s="13"/>
      <c r="H99" s="63" t="str">
        <f t="shared" si="10"/>
        <v/>
      </c>
      <c r="I99" s="64"/>
      <c r="J99" s="15"/>
      <c r="K99" s="65"/>
    </row>
    <row r="100" spans="2:11" ht="22.5" customHeight="1" x14ac:dyDescent="0.3">
      <c r="B100" s="60"/>
      <c r="C100" s="1" t="s">
        <v>7</v>
      </c>
      <c r="D100" s="8" t="str">
        <f t="shared" si="11"/>
        <v/>
      </c>
      <c r="E100" s="63" t="str">
        <f t="shared" si="12"/>
        <v/>
      </c>
      <c r="F100" s="64"/>
      <c r="G100" s="13"/>
      <c r="H100" s="63" t="str">
        <f t="shared" si="10"/>
        <v/>
      </c>
      <c r="I100" s="64"/>
      <c r="J100" s="15"/>
      <c r="K100" s="66"/>
    </row>
    <row r="101" spans="2:11" ht="22.5" customHeight="1" x14ac:dyDescent="0.3">
      <c r="B101" s="58" t="s">
        <v>17</v>
      </c>
      <c r="C101" s="5" t="s">
        <v>8</v>
      </c>
      <c r="D101" s="5" t="s">
        <v>10</v>
      </c>
      <c r="E101" s="61" t="s">
        <v>13</v>
      </c>
      <c r="F101" s="62"/>
      <c r="G101" s="12" t="s">
        <v>11</v>
      </c>
      <c r="H101" s="61" t="s">
        <v>12</v>
      </c>
      <c r="I101" s="62"/>
      <c r="J101" s="12" t="s">
        <v>14</v>
      </c>
      <c r="K101" s="12" t="s">
        <v>33</v>
      </c>
    </row>
    <row r="102" spans="2:11" ht="22.5" customHeight="1" x14ac:dyDescent="0.3">
      <c r="B102" s="59"/>
      <c r="C102" s="1" t="s">
        <v>0</v>
      </c>
      <c r="D102" s="8" t="str">
        <f>IF(VLOOKUP(G102,$C$46:$E$77,2,FALSE)="","",VLOOKUP(G102,$C$46:$E$77,2,FALSE))</f>
        <v/>
      </c>
      <c r="E102" s="63" t="str">
        <f>IF(VLOOKUP(G102,$C$46:$E$77,3,FALSE)="","",VLOOKUP(G102,$C$46:$E$77,3,FALSE))</f>
        <v/>
      </c>
      <c r="F102" s="64"/>
      <c r="G102" s="13"/>
      <c r="H102" s="63" t="str">
        <f>IFERROR(VLOOKUP(G102,$G$46:$H$77,2,FALSE),"")</f>
        <v/>
      </c>
      <c r="I102" s="64"/>
      <c r="J102" s="15" t="s">
        <v>676</v>
      </c>
      <c r="K102" s="54" t="s">
        <v>680</v>
      </c>
    </row>
    <row r="103" spans="2:11" ht="22.5" customHeight="1" x14ac:dyDescent="0.3">
      <c r="B103" s="59"/>
      <c r="C103" s="1" t="s">
        <v>1</v>
      </c>
      <c r="D103" s="8" t="str">
        <f t="shared" ref="D103:D104" si="13">IF(VLOOKUP(G103,$C$46:$E$77,2,FALSE)="","",VLOOKUP(G103,$C$46:$E$77,2,FALSE))</f>
        <v/>
      </c>
      <c r="E103" s="63" t="str">
        <f t="shared" ref="E103:E104" si="14">IF(VLOOKUP(G103,$C$46:$E$77,3,FALSE)="","",VLOOKUP(G103,$C$46:$E$77,3,FALSE))</f>
        <v/>
      </c>
      <c r="F103" s="64"/>
      <c r="G103" s="13"/>
      <c r="H103" s="63" t="str">
        <f t="shared" ref="H103:H110" si="15">IFERROR(VLOOKUP(G103,$G$46:$H$77,2,FALSE),"")</f>
        <v/>
      </c>
      <c r="I103" s="64"/>
      <c r="J103" s="15" t="s">
        <v>677</v>
      </c>
      <c r="K103" s="65"/>
    </row>
    <row r="104" spans="2:11" ht="22.5" customHeight="1" x14ac:dyDescent="0.3">
      <c r="B104" s="59"/>
      <c r="C104" s="1" t="s">
        <v>2</v>
      </c>
      <c r="D104" s="8" t="str">
        <f t="shared" si="13"/>
        <v/>
      </c>
      <c r="E104" s="63" t="str">
        <f t="shared" si="14"/>
        <v/>
      </c>
      <c r="F104" s="64"/>
      <c r="G104" s="13"/>
      <c r="H104" s="63" t="str">
        <f t="shared" si="15"/>
        <v/>
      </c>
      <c r="I104" s="64"/>
      <c r="J104" s="15" t="s">
        <v>678</v>
      </c>
      <c r="K104" s="65"/>
    </row>
    <row r="105" spans="2:11" ht="22.5" customHeight="1" x14ac:dyDescent="0.3">
      <c r="B105" s="59"/>
      <c r="C105" s="2" t="s">
        <v>18</v>
      </c>
      <c r="D105" s="7"/>
      <c r="E105" s="67"/>
      <c r="F105" s="68"/>
      <c r="G105" s="17"/>
      <c r="H105" s="67"/>
      <c r="I105" s="68"/>
      <c r="J105" s="16"/>
      <c r="K105" s="65"/>
    </row>
    <row r="106" spans="2:11" ht="22.5" customHeight="1" x14ac:dyDescent="0.3">
      <c r="B106" s="59"/>
      <c r="C106" s="1" t="s">
        <v>3</v>
      </c>
      <c r="D106" s="8" t="str">
        <f>IF(VLOOKUP(G106,$C$46:$E$77,2,FALSE)="","",VLOOKUP(G106,$C$46:$E$77,2,FALSE))</f>
        <v/>
      </c>
      <c r="E106" s="63" t="str">
        <f>IF(VLOOKUP(G106,$C$46:$E$77,3,FALSE)="","",VLOOKUP(G106,$C$46:$E$77,3,FALSE))</f>
        <v/>
      </c>
      <c r="F106" s="64"/>
      <c r="G106" s="13"/>
      <c r="H106" s="63" t="str">
        <f t="shared" si="15"/>
        <v/>
      </c>
      <c r="I106" s="64"/>
      <c r="J106" s="15" t="s">
        <v>679</v>
      </c>
      <c r="K106" s="65"/>
    </row>
    <row r="107" spans="2:11" ht="22.5" customHeight="1" x14ac:dyDescent="0.3">
      <c r="B107" s="59"/>
      <c r="C107" s="1" t="s">
        <v>4</v>
      </c>
      <c r="D107" s="8" t="str">
        <f t="shared" ref="D107:D110" si="16">IF(VLOOKUP(G107,$C$46:$E$77,2,FALSE)="","",VLOOKUP(G107,$C$46:$E$77,2,FALSE))</f>
        <v/>
      </c>
      <c r="E107" s="63" t="str">
        <f t="shared" ref="E107:E110" si="17">IF(VLOOKUP(G107,$C$46:$E$77,3,FALSE)="","",VLOOKUP(G107,$C$46:$E$77,3,FALSE))</f>
        <v/>
      </c>
      <c r="F107" s="64"/>
      <c r="G107" s="13"/>
      <c r="H107" s="63" t="str">
        <f t="shared" si="15"/>
        <v/>
      </c>
      <c r="I107" s="64"/>
      <c r="J107" s="15" t="s">
        <v>589</v>
      </c>
      <c r="K107" s="65"/>
    </row>
    <row r="108" spans="2:11" ht="22.5" customHeight="1" x14ac:dyDescent="0.3">
      <c r="B108" s="59"/>
      <c r="C108" s="1" t="s">
        <v>5</v>
      </c>
      <c r="D108" s="8" t="str">
        <f t="shared" si="16"/>
        <v/>
      </c>
      <c r="E108" s="63" t="str">
        <f t="shared" si="17"/>
        <v/>
      </c>
      <c r="F108" s="64"/>
      <c r="G108" s="13"/>
      <c r="H108" s="63" t="str">
        <f t="shared" si="15"/>
        <v/>
      </c>
      <c r="I108" s="64"/>
      <c r="J108" s="15" t="s">
        <v>590</v>
      </c>
      <c r="K108" s="65"/>
    </row>
    <row r="109" spans="2:11" ht="22.5" customHeight="1" x14ac:dyDescent="0.3">
      <c r="B109" s="59"/>
      <c r="C109" s="1" t="s">
        <v>6</v>
      </c>
      <c r="D109" s="8" t="str">
        <f t="shared" si="16"/>
        <v/>
      </c>
      <c r="E109" s="63" t="str">
        <f t="shared" si="17"/>
        <v/>
      </c>
      <c r="F109" s="64"/>
      <c r="G109" s="13"/>
      <c r="H109" s="63" t="str">
        <f t="shared" si="15"/>
        <v/>
      </c>
      <c r="I109" s="64"/>
      <c r="J109" s="15"/>
      <c r="K109" s="65"/>
    </row>
    <row r="110" spans="2:11" ht="22.5" customHeight="1" x14ac:dyDescent="0.3">
      <c r="B110" s="60"/>
      <c r="C110" s="1" t="s">
        <v>7</v>
      </c>
      <c r="D110" s="8" t="str">
        <f t="shared" si="16"/>
        <v/>
      </c>
      <c r="E110" s="63" t="str">
        <f t="shared" si="17"/>
        <v/>
      </c>
      <c r="F110" s="64"/>
      <c r="G110" s="13"/>
      <c r="H110" s="63" t="str">
        <f t="shared" si="15"/>
        <v/>
      </c>
      <c r="I110" s="64"/>
      <c r="J110" s="15"/>
      <c r="K110" s="66"/>
    </row>
    <row r="111" spans="2:11" ht="22.5" customHeight="1" x14ac:dyDescent="0.3">
      <c r="B111" s="58" t="s">
        <v>19</v>
      </c>
      <c r="C111" s="5" t="s">
        <v>8</v>
      </c>
      <c r="D111" s="5" t="s">
        <v>10</v>
      </c>
      <c r="E111" s="61" t="s">
        <v>13</v>
      </c>
      <c r="F111" s="62"/>
      <c r="G111" s="12" t="s">
        <v>11</v>
      </c>
      <c r="H111" s="61" t="s">
        <v>12</v>
      </c>
      <c r="I111" s="62"/>
      <c r="J111" s="12" t="s">
        <v>14</v>
      </c>
      <c r="K111" s="12" t="s">
        <v>34</v>
      </c>
    </row>
    <row r="112" spans="2:11" ht="22.5" customHeight="1" x14ac:dyDescent="0.3">
      <c r="B112" s="59"/>
      <c r="C112" s="1" t="s">
        <v>0</v>
      </c>
      <c r="D112" s="8" t="str">
        <f>IF(VLOOKUP(G112,$C$46:$E$77,2,FALSE)="","",VLOOKUP(G112,$C$46:$E$77,2,FALSE))</f>
        <v/>
      </c>
      <c r="E112" s="63" t="str">
        <f>IF(VLOOKUP(G112,$C$46:$E$77,3,FALSE)="","",VLOOKUP(G112,$C$46:$E$77,3,FALSE))</f>
        <v/>
      </c>
      <c r="F112" s="64"/>
      <c r="G112" s="13"/>
      <c r="H112" s="63" t="str">
        <f>IFERROR(VLOOKUP(G112,$G$46:$H$77,2,FALSE),"")</f>
        <v/>
      </c>
      <c r="I112" s="64"/>
      <c r="J112" s="15"/>
      <c r="K112" s="54"/>
    </row>
    <row r="113" spans="2:11" ht="22.5" customHeight="1" x14ac:dyDescent="0.3">
      <c r="B113" s="59"/>
      <c r="C113" s="1" t="s">
        <v>1</v>
      </c>
      <c r="D113" s="8" t="str">
        <f t="shared" ref="D113:D114" si="18">IF(VLOOKUP(G113,$C$46:$E$77,2,FALSE)="","",VLOOKUP(G113,$C$46:$E$77,2,FALSE))</f>
        <v/>
      </c>
      <c r="E113" s="63" t="str">
        <f t="shared" ref="E113:E114" si="19">IF(VLOOKUP(G113,$C$46:$E$77,3,FALSE)="","",VLOOKUP(G113,$C$46:$E$77,3,FALSE))</f>
        <v/>
      </c>
      <c r="F113" s="64"/>
      <c r="G113" s="13"/>
      <c r="H113" s="63" t="str">
        <f t="shared" ref="H113:H120" si="20">IFERROR(VLOOKUP(G113,$G$46:$H$77,2,FALSE),"")</f>
        <v/>
      </c>
      <c r="I113" s="64"/>
      <c r="J113" s="15"/>
      <c r="K113" s="65"/>
    </row>
    <row r="114" spans="2:11" ht="22.5" customHeight="1" x14ac:dyDescent="0.3">
      <c r="B114" s="59"/>
      <c r="C114" s="1" t="s">
        <v>2</v>
      </c>
      <c r="D114" s="8" t="str">
        <f t="shared" si="18"/>
        <v/>
      </c>
      <c r="E114" s="63" t="str">
        <f t="shared" si="19"/>
        <v/>
      </c>
      <c r="F114" s="64"/>
      <c r="G114" s="13"/>
      <c r="H114" s="63" t="str">
        <f t="shared" si="20"/>
        <v/>
      </c>
      <c r="I114" s="64"/>
      <c r="J114" s="15"/>
      <c r="K114" s="65"/>
    </row>
    <row r="115" spans="2:11" ht="22.5" customHeight="1" x14ac:dyDescent="0.3">
      <c r="B115" s="59"/>
      <c r="C115" s="2" t="s">
        <v>18</v>
      </c>
      <c r="D115" s="7"/>
      <c r="E115" s="67"/>
      <c r="F115" s="68"/>
      <c r="G115" s="17"/>
      <c r="H115" s="67"/>
      <c r="I115" s="68"/>
      <c r="J115" s="16"/>
      <c r="K115" s="65"/>
    </row>
    <row r="116" spans="2:11" ht="22.5" customHeight="1" x14ac:dyDescent="0.3">
      <c r="B116" s="59"/>
      <c r="C116" s="1" t="s">
        <v>3</v>
      </c>
      <c r="D116" s="8" t="str">
        <f>IF(VLOOKUP(G116,$C$46:$E$77,2,FALSE)="","",VLOOKUP(G116,$C$46:$E$77,2,FALSE))</f>
        <v/>
      </c>
      <c r="E116" s="63" t="str">
        <f>IF(VLOOKUP(G116,$C$46:$E$77,3,FALSE)="","",VLOOKUP(G116,$C$46:$E$77,3,FALSE))</f>
        <v/>
      </c>
      <c r="F116" s="64"/>
      <c r="G116" s="13"/>
      <c r="H116" s="63" t="str">
        <f t="shared" si="20"/>
        <v/>
      </c>
      <c r="I116" s="64"/>
      <c r="J116" s="15"/>
      <c r="K116" s="65"/>
    </row>
    <row r="117" spans="2:11" ht="22.5" customHeight="1" x14ac:dyDescent="0.3">
      <c r="B117" s="59"/>
      <c r="C117" s="1" t="s">
        <v>4</v>
      </c>
      <c r="D117" s="8" t="str">
        <f t="shared" ref="D117:D120" si="21">IF(VLOOKUP(G117,$C$46:$E$77,2,FALSE)="","",VLOOKUP(G117,$C$46:$E$77,2,FALSE))</f>
        <v/>
      </c>
      <c r="E117" s="63" t="str">
        <f t="shared" ref="E117:E120" si="22">IF(VLOOKUP(G117,$C$46:$E$77,3,FALSE)="","",VLOOKUP(G117,$C$46:$E$77,3,FALSE))</f>
        <v/>
      </c>
      <c r="F117" s="64"/>
      <c r="G117" s="13"/>
      <c r="H117" s="63" t="str">
        <f t="shared" si="20"/>
        <v/>
      </c>
      <c r="I117" s="64"/>
      <c r="J117" s="15"/>
      <c r="K117" s="65"/>
    </row>
    <row r="118" spans="2:11" ht="22.5" customHeight="1" x14ac:dyDescent="0.3">
      <c r="B118" s="59"/>
      <c r="C118" s="1" t="s">
        <v>5</v>
      </c>
      <c r="D118" s="8" t="str">
        <f t="shared" si="21"/>
        <v/>
      </c>
      <c r="E118" s="63" t="str">
        <f t="shared" si="22"/>
        <v/>
      </c>
      <c r="F118" s="64"/>
      <c r="G118" s="13"/>
      <c r="H118" s="63" t="str">
        <f t="shared" si="20"/>
        <v/>
      </c>
      <c r="I118" s="64"/>
      <c r="J118" s="15"/>
      <c r="K118" s="65"/>
    </row>
    <row r="119" spans="2:11" ht="22.5" customHeight="1" x14ac:dyDescent="0.3">
      <c r="B119" s="59"/>
      <c r="C119" s="1" t="s">
        <v>6</v>
      </c>
      <c r="D119" s="8" t="str">
        <f t="shared" si="21"/>
        <v/>
      </c>
      <c r="E119" s="63" t="str">
        <f t="shared" si="22"/>
        <v/>
      </c>
      <c r="F119" s="64"/>
      <c r="G119" s="13"/>
      <c r="H119" s="63" t="str">
        <f t="shared" si="20"/>
        <v/>
      </c>
      <c r="I119" s="64"/>
      <c r="J119" s="15"/>
      <c r="K119" s="65"/>
    </row>
    <row r="120" spans="2:11" ht="22.5" customHeight="1" x14ac:dyDescent="0.3">
      <c r="B120" s="60"/>
      <c r="C120" s="1" t="s">
        <v>7</v>
      </c>
      <c r="D120" s="8" t="str">
        <f t="shared" si="21"/>
        <v/>
      </c>
      <c r="E120" s="63" t="str">
        <f t="shared" si="22"/>
        <v/>
      </c>
      <c r="F120" s="64"/>
      <c r="G120" s="13"/>
      <c r="H120" s="63" t="str">
        <f t="shared" si="20"/>
        <v/>
      </c>
      <c r="I120" s="64"/>
      <c r="J120" s="15"/>
      <c r="K120" s="66"/>
    </row>
    <row r="121" spans="2:11" ht="22.5" customHeight="1" x14ac:dyDescent="0.3">
      <c r="B121" s="58" t="s">
        <v>20</v>
      </c>
      <c r="C121" s="5" t="s">
        <v>8</v>
      </c>
      <c r="D121" s="5" t="s">
        <v>10</v>
      </c>
      <c r="E121" s="61" t="s">
        <v>13</v>
      </c>
      <c r="F121" s="62"/>
      <c r="G121" s="12" t="s">
        <v>11</v>
      </c>
      <c r="H121" s="61" t="s">
        <v>12</v>
      </c>
      <c r="I121" s="62"/>
      <c r="J121" s="12" t="s">
        <v>14</v>
      </c>
      <c r="K121" s="12" t="s">
        <v>35</v>
      </c>
    </row>
    <row r="122" spans="2:11" ht="22.5" customHeight="1" x14ac:dyDescent="0.3">
      <c r="B122" s="59"/>
      <c r="C122" s="1" t="s">
        <v>0</v>
      </c>
      <c r="D122" s="8" t="str">
        <f>IF(VLOOKUP(G122,$C$46:$E$77,2,FALSE)="","",VLOOKUP(G122,$C$46:$E$77,2,FALSE))</f>
        <v/>
      </c>
      <c r="E122" s="63" t="str">
        <f>IF(VLOOKUP(G122,$C$46:$E$77,3,FALSE)="","",VLOOKUP(G122,$C$46:$E$77,3,FALSE))</f>
        <v/>
      </c>
      <c r="F122" s="64"/>
      <c r="G122" s="13"/>
      <c r="H122" s="63" t="str">
        <f>IFERROR(VLOOKUP(G122,$G$46:$H$77,2,FALSE),"")</f>
        <v/>
      </c>
      <c r="I122" s="64"/>
      <c r="J122" s="15"/>
      <c r="K122" s="54"/>
    </row>
    <row r="123" spans="2:11" ht="22.5" customHeight="1" x14ac:dyDescent="0.3">
      <c r="B123" s="59"/>
      <c r="C123" s="1" t="s">
        <v>1</v>
      </c>
      <c r="D123" s="8" t="str">
        <f t="shared" ref="D123:D124" si="23">IF(VLOOKUP(G123,$C$46:$E$77,2,FALSE)="","",VLOOKUP(G123,$C$46:$E$77,2,FALSE))</f>
        <v/>
      </c>
      <c r="E123" s="63" t="str">
        <f t="shared" ref="E123:E124" si="24">IF(VLOOKUP(G123,$C$46:$E$77,3,FALSE)="","",VLOOKUP(G123,$C$46:$E$77,3,FALSE))</f>
        <v/>
      </c>
      <c r="F123" s="64"/>
      <c r="G123" s="13"/>
      <c r="H123" s="63" t="str">
        <f t="shared" ref="H123:H130" si="25">IFERROR(VLOOKUP(G123,$G$46:$H$77,2,FALSE),"")</f>
        <v/>
      </c>
      <c r="I123" s="64"/>
      <c r="J123" s="15"/>
      <c r="K123" s="65"/>
    </row>
    <row r="124" spans="2:11" ht="22.5" customHeight="1" x14ac:dyDescent="0.3">
      <c r="B124" s="59"/>
      <c r="C124" s="1" t="s">
        <v>2</v>
      </c>
      <c r="D124" s="8" t="str">
        <f t="shared" si="23"/>
        <v/>
      </c>
      <c r="E124" s="63" t="str">
        <f t="shared" si="24"/>
        <v/>
      </c>
      <c r="F124" s="64"/>
      <c r="G124" s="13"/>
      <c r="H124" s="63" t="str">
        <f t="shared" si="25"/>
        <v/>
      </c>
      <c r="I124" s="64"/>
      <c r="J124" s="15"/>
      <c r="K124" s="65"/>
    </row>
    <row r="125" spans="2:11" ht="22.5" customHeight="1" x14ac:dyDescent="0.3">
      <c r="B125" s="59"/>
      <c r="C125" s="2" t="s">
        <v>18</v>
      </c>
      <c r="D125" s="7"/>
      <c r="E125" s="67"/>
      <c r="F125" s="68"/>
      <c r="G125" s="17"/>
      <c r="H125" s="67"/>
      <c r="I125" s="68"/>
      <c r="J125" s="16"/>
      <c r="K125" s="65"/>
    </row>
    <row r="126" spans="2:11" ht="22.5" customHeight="1" x14ac:dyDescent="0.3">
      <c r="B126" s="59"/>
      <c r="C126" s="1" t="s">
        <v>3</v>
      </c>
      <c r="D126" s="8" t="str">
        <f>IF(VLOOKUP(G126,$C$46:$E$77,2,FALSE)="","",VLOOKUP(G126,$C$46:$E$77,2,FALSE))</f>
        <v/>
      </c>
      <c r="E126" s="63" t="str">
        <f>IF(VLOOKUP(G126,$C$46:$E$77,3,FALSE)="","",VLOOKUP(G126,$C$46:$E$77,3,FALSE))</f>
        <v/>
      </c>
      <c r="F126" s="64"/>
      <c r="G126" s="13"/>
      <c r="H126" s="63" t="str">
        <f t="shared" si="25"/>
        <v/>
      </c>
      <c r="I126" s="64"/>
      <c r="J126" s="15"/>
      <c r="K126" s="65"/>
    </row>
    <row r="127" spans="2:11" ht="22.5" customHeight="1" x14ac:dyDescent="0.3">
      <c r="B127" s="59"/>
      <c r="C127" s="1" t="s">
        <v>4</v>
      </c>
      <c r="D127" s="8" t="str">
        <f t="shared" ref="D127:D130" si="26">IF(VLOOKUP(G127,$C$46:$E$77,2,FALSE)="","",VLOOKUP(G127,$C$46:$E$77,2,FALSE))</f>
        <v/>
      </c>
      <c r="E127" s="63" t="str">
        <f t="shared" ref="E127:E130" si="27">IF(VLOOKUP(G127,$C$46:$E$77,3,FALSE)="","",VLOOKUP(G127,$C$46:$E$77,3,FALSE))</f>
        <v/>
      </c>
      <c r="F127" s="64"/>
      <c r="G127" s="13"/>
      <c r="H127" s="63" t="str">
        <f t="shared" si="25"/>
        <v/>
      </c>
      <c r="I127" s="64"/>
      <c r="J127" s="15"/>
      <c r="K127" s="65"/>
    </row>
    <row r="128" spans="2:11" ht="22.5" customHeight="1" x14ac:dyDescent="0.3">
      <c r="B128" s="59"/>
      <c r="C128" s="1" t="s">
        <v>5</v>
      </c>
      <c r="D128" s="8" t="str">
        <f t="shared" si="26"/>
        <v/>
      </c>
      <c r="E128" s="63" t="str">
        <f t="shared" si="27"/>
        <v/>
      </c>
      <c r="F128" s="64"/>
      <c r="G128" s="13"/>
      <c r="H128" s="63" t="str">
        <f t="shared" si="25"/>
        <v/>
      </c>
      <c r="I128" s="64"/>
      <c r="J128" s="15"/>
      <c r="K128" s="65"/>
    </row>
    <row r="129" spans="2:11" ht="22.5" customHeight="1" x14ac:dyDescent="0.3">
      <c r="B129" s="59"/>
      <c r="C129" s="1" t="s">
        <v>6</v>
      </c>
      <c r="D129" s="8" t="str">
        <f t="shared" si="26"/>
        <v/>
      </c>
      <c r="E129" s="63" t="str">
        <f t="shared" si="27"/>
        <v/>
      </c>
      <c r="F129" s="64"/>
      <c r="G129" s="13"/>
      <c r="H129" s="63" t="str">
        <f t="shared" si="25"/>
        <v/>
      </c>
      <c r="I129" s="64"/>
      <c r="J129" s="15"/>
      <c r="K129" s="65"/>
    </row>
    <row r="130" spans="2:11" ht="22.5" customHeight="1" x14ac:dyDescent="0.3">
      <c r="B130" s="60"/>
      <c r="C130" s="1" t="s">
        <v>7</v>
      </c>
      <c r="D130" s="8" t="str">
        <f t="shared" si="26"/>
        <v/>
      </c>
      <c r="E130" s="63" t="str">
        <f t="shared" si="27"/>
        <v/>
      </c>
      <c r="F130" s="64"/>
      <c r="G130" s="13"/>
      <c r="H130" s="63" t="str">
        <f t="shared" si="25"/>
        <v/>
      </c>
      <c r="I130" s="64"/>
      <c r="J130" s="15"/>
      <c r="K130" s="66"/>
    </row>
    <row r="131" spans="2:11" ht="22.5" customHeight="1" x14ac:dyDescent="0.3">
      <c r="K131" s="11">
        <f>COUNTA(K82,K92,K102,K112,K122)</f>
        <v>3</v>
      </c>
    </row>
    <row r="132" spans="2:11" ht="22.5" customHeight="1" x14ac:dyDescent="0.3"/>
    <row r="133" spans="2:11" ht="22.5" customHeight="1" x14ac:dyDescent="0.3"/>
    <row r="134" spans="2:11" ht="22.5" customHeight="1" x14ac:dyDescent="0.3"/>
    <row r="135" spans="2:11" ht="22.5" customHeight="1" x14ac:dyDescent="0.3"/>
    <row r="136" spans="2:11" ht="22.5" customHeight="1" x14ac:dyDescent="0.3"/>
    <row r="137" spans="2:11" ht="22.5" customHeight="1" x14ac:dyDescent="0.3"/>
    <row r="138" spans="2:11" ht="22.5" customHeight="1" x14ac:dyDescent="0.3"/>
    <row r="139" spans="2:11" ht="22.5" customHeight="1" x14ac:dyDescent="0.3"/>
    <row r="140" spans="2:11" ht="22.5" customHeight="1" x14ac:dyDescent="0.3"/>
    <row r="141" spans="2:11" ht="22.5" customHeight="1" x14ac:dyDescent="0.3"/>
    <row r="142" spans="2:11"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ED953BF-12A2-4EDC-ACD4-8CD6630690AD}">
          <x14:formula1>
            <xm:f>통합!$A$2:$A$43</xm:f>
          </x14:formula1>
          <xm:sqref>J46:J77</xm:sqref>
        </x14:dataValidation>
        <x14:dataValidation type="list" allowBlank="1" showInputMessage="1" showErrorMessage="1" xr:uid="{4033994A-2AD9-47F8-83F4-11C3EA768538}">
          <x14:formula1>
            <xm:f>통합!$A$2:$A$52</xm:f>
          </x14:formula1>
          <xm:sqref>C2:I2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F4B24-A91C-4CF0-B0D6-66C2166BAF7A}">
  <dimension ref="A1:O142"/>
  <sheetViews>
    <sheetView topLeftCell="A7" zoomScaleNormal="100" workbookViewId="0">
      <selection activeCell="C29" sqref="C29:I2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6" t="s">
        <v>231</v>
      </c>
      <c r="B1" s="46"/>
      <c r="C1" s="46"/>
      <c r="D1" s="46"/>
      <c r="E1" s="46"/>
      <c r="F1" s="46"/>
      <c r="G1" s="46"/>
      <c r="H1" s="46"/>
      <c r="I1" s="46"/>
      <c r="J1" s="46"/>
      <c r="K1" s="46"/>
    </row>
    <row r="2" spans="1:15" ht="21.75" customHeight="1" x14ac:dyDescent="0.3">
      <c r="B2" s="4" t="s">
        <v>205</v>
      </c>
      <c r="C2" s="43" t="s">
        <v>346</v>
      </c>
      <c r="D2" s="43"/>
      <c r="E2" s="43"/>
      <c r="F2" s="43"/>
      <c r="G2" s="43"/>
      <c r="H2" s="43"/>
      <c r="I2" s="44"/>
      <c r="J2" s="45"/>
      <c r="K2" s="45"/>
      <c r="L2" s="10"/>
      <c r="M2" s="10"/>
      <c r="N2" s="10"/>
      <c r="O2" s="10"/>
    </row>
    <row r="3" spans="1:15" ht="21.75" customHeight="1" x14ac:dyDescent="0.3">
      <c r="A3" s="11" t="s">
        <v>169</v>
      </c>
      <c r="B3" s="4" t="s">
        <v>23</v>
      </c>
      <c r="C3" s="43" t="s">
        <v>531</v>
      </c>
      <c r="D3" s="43"/>
      <c r="E3" s="43"/>
      <c r="F3" s="43"/>
      <c r="G3" s="43"/>
      <c r="H3" s="43"/>
      <c r="I3" s="44"/>
      <c r="J3" s="45" t="s">
        <v>226</v>
      </c>
      <c r="K3" s="45"/>
      <c r="L3" s="10"/>
      <c r="M3" s="10"/>
      <c r="N3" s="10"/>
      <c r="O3" s="10"/>
    </row>
    <row r="4" spans="1:15" ht="156.75" customHeight="1" x14ac:dyDescent="0.3">
      <c r="B4" s="4" t="s">
        <v>230</v>
      </c>
      <c r="C4" s="47" t="s">
        <v>532</v>
      </c>
      <c r="D4" s="43"/>
      <c r="E4" s="43"/>
      <c r="F4" s="43"/>
      <c r="G4" s="43"/>
      <c r="H4" s="43"/>
      <c r="I4" s="44"/>
      <c r="J4" s="45"/>
      <c r="K4" s="45"/>
      <c r="L4" s="10"/>
      <c r="M4" s="10"/>
      <c r="N4" s="10"/>
      <c r="O4" s="10"/>
    </row>
    <row r="5" spans="1:15" ht="21.75" customHeight="1" x14ac:dyDescent="0.3">
      <c r="A5" s="11" t="s">
        <v>188</v>
      </c>
      <c r="B5" s="4" t="s">
        <v>184</v>
      </c>
      <c r="C5" s="43" t="str">
        <f>VLOOKUP($C$2,통합!A2:J52,2,FALSE)</f>
        <v>20.정보통신</v>
      </c>
      <c r="D5" s="43"/>
      <c r="E5" s="43"/>
      <c r="F5" s="43"/>
      <c r="G5" s="43"/>
      <c r="H5" s="43"/>
      <c r="I5" s="44"/>
      <c r="J5" s="45"/>
      <c r="K5" s="45"/>
      <c r="L5" s="10"/>
      <c r="M5" s="10"/>
      <c r="N5" s="10"/>
      <c r="O5" s="10"/>
    </row>
    <row r="6" spans="1:15" ht="21.75" customHeight="1" x14ac:dyDescent="0.3">
      <c r="A6" s="11" t="s">
        <v>189</v>
      </c>
      <c r="B6" s="4" t="s">
        <v>185</v>
      </c>
      <c r="C6" s="43" t="str">
        <f>VLOOKUP($C$2,통합!A2:J52,3,FALSE)</f>
        <v>01.정보기술</v>
      </c>
      <c r="D6" s="43"/>
      <c r="E6" s="43"/>
      <c r="F6" s="43"/>
      <c r="G6" s="43"/>
      <c r="H6" s="43"/>
      <c r="I6" s="44"/>
      <c r="J6" s="45"/>
      <c r="K6" s="45"/>
      <c r="L6" s="10"/>
      <c r="M6" s="10"/>
      <c r="N6" s="10"/>
      <c r="O6" s="10"/>
    </row>
    <row r="7" spans="1:15" ht="21.75" customHeight="1" x14ac:dyDescent="0.3">
      <c r="A7" s="11" t="s">
        <v>190</v>
      </c>
      <c r="B7" s="4" t="s">
        <v>186</v>
      </c>
      <c r="C7" s="43" t="str">
        <f>VLOOKUP($C$2,통합!A2:J52,4,FALSE)</f>
        <v xml:space="preserve">07.인공지능 </v>
      </c>
      <c r="D7" s="43"/>
      <c r="E7" s="43"/>
      <c r="F7" s="43"/>
      <c r="G7" s="43"/>
      <c r="H7" s="43"/>
      <c r="I7" s="44"/>
      <c r="J7" s="45"/>
      <c r="K7" s="45"/>
      <c r="L7" s="10"/>
      <c r="M7" s="10"/>
      <c r="N7" s="10"/>
      <c r="O7" s="10"/>
    </row>
    <row r="8" spans="1:15" ht="21.75" customHeight="1" x14ac:dyDescent="0.3">
      <c r="A8" s="11" t="s">
        <v>191</v>
      </c>
      <c r="B8" s="4" t="s">
        <v>187</v>
      </c>
      <c r="C8" s="43" t="str">
        <f>VLOOKUP($C$2,통합!A2:J52,8,FALSE)&amp;"."&amp;VLOOKUP($C$2,통합!A2:J52,9,FALSE)</f>
        <v>05.프롬프트 구현</v>
      </c>
      <c r="D8" s="43"/>
      <c r="E8" s="43"/>
      <c r="F8" s="43"/>
      <c r="G8" s="43"/>
      <c r="H8" s="43"/>
      <c r="I8" s="44"/>
      <c r="J8" s="45"/>
      <c r="K8" s="45"/>
      <c r="L8" s="10"/>
      <c r="M8" s="10"/>
      <c r="N8" s="10"/>
      <c r="O8" s="10"/>
    </row>
    <row r="9" spans="1:15" ht="21.75" customHeight="1" x14ac:dyDescent="0.3">
      <c r="A9" s="11" t="s">
        <v>210</v>
      </c>
      <c r="B9" s="4" t="s">
        <v>176</v>
      </c>
      <c r="C9" s="43" t="str">
        <f>VLOOKUP($C$2,통합!A2:J52,7,FALSE)</f>
        <v>2001070705_25v1</v>
      </c>
      <c r="D9" s="43"/>
      <c r="E9" s="43"/>
      <c r="F9" s="43"/>
      <c r="G9" s="43"/>
      <c r="H9" s="43"/>
      <c r="I9" s="44"/>
      <c r="J9" s="45"/>
      <c r="K9" s="45"/>
      <c r="L9" s="10"/>
      <c r="M9" s="10"/>
      <c r="N9" s="10"/>
      <c r="O9" s="10"/>
    </row>
    <row r="10" spans="1:15" ht="21.75" customHeight="1" x14ac:dyDescent="0.3">
      <c r="A10" s="11" t="s">
        <v>208</v>
      </c>
      <c r="B10" s="4" t="s">
        <v>24</v>
      </c>
      <c r="C10" s="43">
        <f>VLOOKUP($C$2,통합!A2:J52,6,FALSE)</f>
        <v>5</v>
      </c>
      <c r="D10" s="43"/>
      <c r="E10" s="43"/>
      <c r="F10" s="43"/>
      <c r="G10" s="43"/>
      <c r="H10" s="43"/>
      <c r="I10" s="44"/>
      <c r="J10" s="45"/>
      <c r="K10" s="45"/>
      <c r="L10" s="10"/>
      <c r="M10" s="10"/>
      <c r="N10" s="10"/>
      <c r="O10" s="10"/>
    </row>
    <row r="11" spans="1:15" ht="21.75" customHeight="1" x14ac:dyDescent="0.3">
      <c r="A11" s="11" t="s">
        <v>174</v>
      </c>
      <c r="B11" s="4" t="s">
        <v>15</v>
      </c>
      <c r="C11" s="48" t="str">
        <f>F78&amp;"시간( "&amp;K131&amp;"일)"</f>
        <v>1시간( 3일)</v>
      </c>
      <c r="D11" s="48"/>
      <c r="E11" s="48"/>
      <c r="F11" s="48"/>
      <c r="G11" s="48"/>
      <c r="H11" s="48"/>
      <c r="I11" s="49"/>
      <c r="J11" s="18" t="s">
        <v>175</v>
      </c>
      <c r="K11" s="18"/>
      <c r="L11" s="10"/>
      <c r="M11" s="10"/>
      <c r="N11" s="10"/>
      <c r="O11" s="10"/>
    </row>
    <row r="12" spans="1:15" ht="28.5" customHeight="1" x14ac:dyDescent="0.3">
      <c r="A12" s="50" t="s">
        <v>232</v>
      </c>
      <c r="B12" s="50"/>
      <c r="C12" s="50"/>
      <c r="D12" s="50"/>
      <c r="E12" s="50"/>
      <c r="F12" s="50"/>
      <c r="G12" s="50"/>
      <c r="H12" s="50"/>
      <c r="I12" s="50"/>
      <c r="J12" s="50"/>
      <c r="K12" s="51"/>
      <c r="L12" s="10"/>
      <c r="M12" s="10"/>
      <c r="N12" s="10"/>
      <c r="O12" s="10"/>
    </row>
    <row r="13" spans="1:15" ht="21.75" customHeight="1" x14ac:dyDescent="0.3">
      <c r="A13" s="11" t="s">
        <v>172</v>
      </c>
      <c r="B13" s="4" t="s">
        <v>21</v>
      </c>
      <c r="C13" s="43" t="s">
        <v>591</v>
      </c>
      <c r="D13" s="43"/>
      <c r="E13" s="43"/>
      <c r="F13" s="43"/>
      <c r="G13" s="43"/>
      <c r="H13" s="43"/>
      <c r="I13" s="44"/>
      <c r="J13" s="45" t="s">
        <v>37</v>
      </c>
      <c r="K13" s="45"/>
      <c r="L13" s="10"/>
      <c r="M13" s="10"/>
      <c r="N13" s="10"/>
      <c r="O13" s="10"/>
    </row>
    <row r="14" spans="1:15" ht="21.75" customHeight="1" x14ac:dyDescent="0.3">
      <c r="A14" s="11" t="s">
        <v>222</v>
      </c>
      <c r="B14" s="4" t="s">
        <v>223</v>
      </c>
      <c r="C14" s="43" t="s">
        <v>592</v>
      </c>
      <c r="D14" s="43"/>
      <c r="E14" s="43"/>
      <c r="F14" s="43"/>
      <c r="G14" s="43"/>
      <c r="H14" s="43"/>
      <c r="I14" s="44"/>
      <c r="J14" s="45" t="s">
        <v>224</v>
      </c>
      <c r="K14" s="45"/>
      <c r="L14" s="10"/>
      <c r="M14" s="10"/>
      <c r="N14" s="10"/>
      <c r="O14" s="10"/>
    </row>
    <row r="15" spans="1:15" ht="21.75" customHeight="1" x14ac:dyDescent="0.3">
      <c r="A15" s="11" t="s">
        <v>182</v>
      </c>
      <c r="B15" s="4" t="s">
        <v>178</v>
      </c>
      <c r="C15" s="43" t="s">
        <v>535</v>
      </c>
      <c r="D15" s="43"/>
      <c r="E15" s="43"/>
      <c r="F15" s="43"/>
      <c r="G15" s="43"/>
      <c r="H15" s="43"/>
      <c r="I15" s="44"/>
      <c r="J15" s="45" t="s">
        <v>177</v>
      </c>
      <c r="K15" s="45"/>
      <c r="L15" s="10"/>
      <c r="M15" s="10"/>
      <c r="N15" s="10"/>
      <c r="O15" s="10"/>
    </row>
    <row r="16" spans="1:15" ht="21.75" customHeight="1" x14ac:dyDescent="0.3">
      <c r="A16" s="11" t="s">
        <v>181</v>
      </c>
      <c r="B16" s="4" t="s">
        <v>179</v>
      </c>
      <c r="C16" s="43" t="s">
        <v>593</v>
      </c>
      <c r="D16" s="43"/>
      <c r="E16" s="43"/>
      <c r="F16" s="43"/>
      <c r="G16" s="43"/>
      <c r="H16" s="43"/>
      <c r="I16" s="44"/>
      <c r="J16" s="45" t="s">
        <v>180</v>
      </c>
      <c r="K16" s="45"/>
      <c r="L16" s="10"/>
      <c r="M16" s="10"/>
      <c r="N16" s="10"/>
      <c r="O16" s="10"/>
    </row>
    <row r="17" spans="1:15" ht="48.75" customHeight="1" x14ac:dyDescent="0.3">
      <c r="A17" s="11" t="s">
        <v>171</v>
      </c>
      <c r="B17" s="4" t="s">
        <v>206</v>
      </c>
      <c r="C17" s="43" t="s">
        <v>594</v>
      </c>
      <c r="D17" s="43"/>
      <c r="E17" s="43"/>
      <c r="F17" s="43"/>
      <c r="G17" s="43"/>
      <c r="H17" s="43"/>
      <c r="I17" s="44"/>
      <c r="J17" s="45" t="s">
        <v>170</v>
      </c>
      <c r="K17" s="45"/>
      <c r="L17" s="10"/>
      <c r="M17" s="10"/>
      <c r="N17" s="10"/>
      <c r="O17" s="10"/>
    </row>
    <row r="18" spans="1:15" ht="48.75" customHeight="1" x14ac:dyDescent="0.3">
      <c r="A18" s="11" t="s">
        <v>183</v>
      </c>
      <c r="B18" s="4" t="s">
        <v>207</v>
      </c>
      <c r="C18" s="43" t="s">
        <v>595</v>
      </c>
      <c r="D18" s="43"/>
      <c r="E18" s="43"/>
      <c r="F18" s="43"/>
      <c r="G18" s="43"/>
      <c r="H18" s="43"/>
      <c r="I18" s="44"/>
      <c r="J18" s="45" t="s">
        <v>170</v>
      </c>
      <c r="K18" s="45"/>
      <c r="L18" s="10"/>
      <c r="M18" s="10"/>
      <c r="N18" s="10"/>
      <c r="O18" s="10"/>
    </row>
    <row r="19" spans="1:15" ht="44.25" customHeight="1" x14ac:dyDescent="0.3">
      <c r="A19" s="11" t="s">
        <v>209</v>
      </c>
      <c r="B19" s="4" t="s">
        <v>22</v>
      </c>
      <c r="C19" s="47" t="s">
        <v>596</v>
      </c>
      <c r="D19" s="43"/>
      <c r="E19" s="43"/>
      <c r="F19" s="43"/>
      <c r="G19" s="43"/>
      <c r="H19" s="43"/>
      <c r="I19" s="44"/>
      <c r="J19" s="45" t="s">
        <v>39</v>
      </c>
      <c r="K19" s="45"/>
      <c r="L19" s="10"/>
      <c r="M19" s="10"/>
      <c r="N19" s="10"/>
      <c r="O19" s="10"/>
    </row>
    <row r="20" spans="1:15" ht="28.5" customHeight="1" x14ac:dyDescent="0.3">
      <c r="A20" s="11" t="s">
        <v>212</v>
      </c>
      <c r="B20" s="4" t="s">
        <v>25</v>
      </c>
      <c r="C20" s="43" t="s">
        <v>597</v>
      </c>
      <c r="D20" s="43"/>
      <c r="E20" s="43"/>
      <c r="F20" s="43"/>
      <c r="G20" s="43"/>
      <c r="H20" s="43"/>
      <c r="I20" s="44"/>
      <c r="J20" s="45" t="s">
        <v>40</v>
      </c>
      <c r="K20" s="45"/>
      <c r="L20" s="10"/>
      <c r="M20" s="10"/>
      <c r="N20" s="10"/>
      <c r="O20" s="10"/>
    </row>
    <row r="21" spans="1:15" ht="78" customHeight="1" x14ac:dyDescent="0.3">
      <c r="A21" s="11" t="s">
        <v>213</v>
      </c>
      <c r="B21" s="4" t="s">
        <v>27</v>
      </c>
      <c r="C21" s="47" t="s">
        <v>598</v>
      </c>
      <c r="D21" s="43"/>
      <c r="E21" s="43"/>
      <c r="F21" s="43"/>
      <c r="G21" s="43"/>
      <c r="H21" s="43"/>
      <c r="I21" s="44"/>
      <c r="J21" s="45" t="s">
        <v>41</v>
      </c>
      <c r="K21" s="45"/>
      <c r="L21" s="10"/>
      <c r="M21" s="10"/>
      <c r="N21" s="10"/>
      <c r="O21" s="10"/>
    </row>
    <row r="22" spans="1:15" ht="62.25" customHeight="1" x14ac:dyDescent="0.3">
      <c r="A22" s="11" t="s">
        <v>214</v>
      </c>
      <c r="B22" s="52" t="s">
        <v>28</v>
      </c>
      <c r="C22" s="47" t="s">
        <v>644</v>
      </c>
      <c r="D22" s="43"/>
      <c r="E22" s="43"/>
      <c r="F22" s="43"/>
      <c r="G22" s="43"/>
      <c r="H22" s="43"/>
      <c r="I22" s="44"/>
      <c r="J22" s="45" t="s">
        <v>217</v>
      </c>
      <c r="K22" s="45"/>
      <c r="L22" s="10"/>
      <c r="M22" s="10"/>
      <c r="N22" s="10"/>
      <c r="O22" s="10"/>
    </row>
    <row r="23" spans="1:15" ht="62.25" customHeight="1" x14ac:dyDescent="0.3">
      <c r="A23" s="11" t="s">
        <v>215</v>
      </c>
      <c r="B23" s="52"/>
      <c r="C23" s="47" t="s">
        <v>645</v>
      </c>
      <c r="D23" s="43"/>
      <c r="E23" s="43"/>
      <c r="F23" s="43"/>
      <c r="G23" s="43"/>
      <c r="H23" s="43"/>
      <c r="I23" s="44"/>
      <c r="J23" s="45" t="s">
        <v>218</v>
      </c>
      <c r="K23" s="45"/>
      <c r="L23" s="10"/>
      <c r="M23" s="10"/>
      <c r="N23" s="10"/>
      <c r="O23" s="10"/>
    </row>
    <row r="24" spans="1:15" ht="62.25" customHeight="1" x14ac:dyDescent="0.3">
      <c r="A24" s="11" t="s">
        <v>216</v>
      </c>
      <c r="B24" s="52"/>
      <c r="C24" s="47" t="s">
        <v>646</v>
      </c>
      <c r="D24" s="43"/>
      <c r="E24" s="43"/>
      <c r="F24" s="43"/>
      <c r="G24" s="43"/>
      <c r="H24" s="43"/>
      <c r="I24" s="44"/>
      <c r="J24" s="45" t="s">
        <v>219</v>
      </c>
      <c r="K24" s="45"/>
      <c r="L24" s="10"/>
      <c r="M24" s="10"/>
      <c r="N24" s="10"/>
      <c r="O24" s="10"/>
    </row>
    <row r="25" spans="1:15" ht="83.25" customHeight="1" x14ac:dyDescent="0.3">
      <c r="A25" s="11" t="s">
        <v>220</v>
      </c>
      <c r="B25" s="6" t="s">
        <v>29</v>
      </c>
      <c r="C25" s="47" t="s">
        <v>599</v>
      </c>
      <c r="D25" s="43"/>
      <c r="E25" s="43"/>
      <c r="F25" s="43"/>
      <c r="G25" s="43"/>
      <c r="H25" s="43"/>
      <c r="I25" s="44"/>
      <c r="J25" s="45" t="s">
        <v>45</v>
      </c>
      <c r="K25" s="45"/>
      <c r="L25" s="10"/>
      <c r="M25" s="10"/>
      <c r="N25" s="10"/>
      <c r="O25" s="10"/>
    </row>
    <row r="26" spans="1:15" ht="47.25" customHeight="1" x14ac:dyDescent="0.3">
      <c r="A26" s="11" t="s">
        <v>225</v>
      </c>
      <c r="B26" s="6" t="s">
        <v>46</v>
      </c>
      <c r="C26" s="47" t="s">
        <v>600</v>
      </c>
      <c r="D26" s="43"/>
      <c r="E26" s="43"/>
      <c r="F26" s="43"/>
      <c r="G26" s="43"/>
      <c r="H26" s="43"/>
      <c r="I26" s="44"/>
      <c r="J26" s="45" t="s">
        <v>519</v>
      </c>
      <c r="K26" s="45"/>
      <c r="L26" s="10"/>
      <c r="M26" s="10"/>
      <c r="N26" s="10"/>
      <c r="O26" s="10"/>
    </row>
    <row r="27" spans="1:15" ht="29.25" customHeight="1" x14ac:dyDescent="0.3">
      <c r="A27" s="11" t="s">
        <v>221</v>
      </c>
      <c r="B27" s="4" t="s">
        <v>26</v>
      </c>
      <c r="C27" s="43" t="s">
        <v>48</v>
      </c>
      <c r="D27" s="43"/>
      <c r="E27" s="43"/>
      <c r="F27" s="43"/>
      <c r="G27" s="43"/>
      <c r="H27" s="43"/>
      <c r="I27" s="44"/>
      <c r="J27" s="45" t="s">
        <v>48</v>
      </c>
      <c r="K27" s="45"/>
      <c r="L27" s="10"/>
      <c r="M27" s="10"/>
      <c r="N27" s="10"/>
      <c r="O27" s="10"/>
    </row>
    <row r="28" spans="1:15" ht="218.25" customHeight="1" x14ac:dyDescent="0.3">
      <c r="A28" s="11" t="s">
        <v>739</v>
      </c>
      <c r="B28" s="41" t="s">
        <v>227</v>
      </c>
      <c r="C28" s="53" t="s">
        <v>601</v>
      </c>
      <c r="D28" s="54"/>
      <c r="E28" s="54"/>
      <c r="F28" s="54"/>
      <c r="G28" s="54"/>
      <c r="H28" s="54"/>
      <c r="I28" s="55"/>
      <c r="J28" s="45" t="s">
        <v>228</v>
      </c>
      <c r="K28" s="45"/>
      <c r="L28" s="10"/>
      <c r="M28" s="10"/>
      <c r="N28" s="10"/>
      <c r="O28" s="10"/>
    </row>
    <row r="29" spans="1:15" ht="218.25" customHeight="1" x14ac:dyDescent="0.3">
      <c r="A29" s="11" t="s">
        <v>740</v>
      </c>
      <c r="B29" s="77" t="s">
        <v>741</v>
      </c>
      <c r="C29" s="47"/>
      <c r="D29" s="43"/>
      <c r="E29" s="43"/>
      <c r="F29" s="43"/>
      <c r="G29" s="43"/>
      <c r="H29" s="43"/>
      <c r="I29" s="44"/>
      <c r="J29" s="45" t="s">
        <v>742</v>
      </c>
      <c r="K29" s="45"/>
      <c r="L29" s="10"/>
      <c r="M29" s="10"/>
      <c r="N29" s="10"/>
      <c r="O29" s="10"/>
    </row>
    <row r="30" spans="1:15" ht="218.25" customHeight="1" x14ac:dyDescent="0.3">
      <c r="A30" s="11" t="s">
        <v>743</v>
      </c>
      <c r="B30" s="77" t="s">
        <v>744</v>
      </c>
      <c r="C30" s="47"/>
      <c r="D30" s="43"/>
      <c r="E30" s="43"/>
      <c r="F30" s="43"/>
      <c r="G30" s="43"/>
      <c r="H30" s="43"/>
      <c r="I30" s="44"/>
      <c r="J30" s="45" t="s">
        <v>745</v>
      </c>
      <c r="K30" s="45"/>
      <c r="L30" s="10"/>
      <c r="M30" s="10"/>
      <c r="N30" s="10"/>
      <c r="O30" s="10"/>
    </row>
    <row r="31" spans="1:15" ht="29.25" customHeight="1" x14ac:dyDescent="0.3">
      <c r="A31" s="15" t="s">
        <v>495</v>
      </c>
      <c r="B31" s="33" t="s">
        <v>496</v>
      </c>
      <c r="C31" s="43" t="str">
        <f>F78&amp;"시간 (100%)"</f>
        <v>1시간 (100%)</v>
      </c>
      <c r="D31" s="43"/>
      <c r="E31" s="43"/>
      <c r="F31" s="43"/>
      <c r="G31" s="43"/>
      <c r="H31" s="43"/>
      <c r="I31" s="43"/>
      <c r="J31" s="40"/>
      <c r="K31" s="40"/>
      <c r="L31" s="10"/>
      <c r="M31" s="10"/>
      <c r="N31" s="10"/>
      <c r="O31" s="10"/>
    </row>
    <row r="32" spans="1:15" ht="22.5" customHeight="1" x14ac:dyDescent="0.3">
      <c r="A32" s="15" t="s">
        <v>499</v>
      </c>
      <c r="B32" s="33" t="s">
        <v>497</v>
      </c>
      <c r="C32" s="43">
        <f>COUNTA(G82:G90)</f>
        <v>1</v>
      </c>
      <c r="D32" s="43"/>
      <c r="E32" s="43"/>
      <c r="F32" s="43"/>
      <c r="G32" s="43"/>
      <c r="H32" s="43"/>
      <c r="I32" s="43"/>
      <c r="J32" s="56"/>
      <c r="K32" s="57"/>
    </row>
    <row r="33" spans="1:11" ht="22.5" customHeight="1" x14ac:dyDescent="0.3">
      <c r="A33" s="15" t="s">
        <v>500</v>
      </c>
      <c r="B33" s="33" t="s">
        <v>498</v>
      </c>
      <c r="C33" s="43">
        <f>COUNTA(G92:G100)</f>
        <v>0</v>
      </c>
      <c r="D33" s="43"/>
      <c r="E33" s="43"/>
      <c r="F33" s="43"/>
      <c r="G33" s="43"/>
      <c r="H33" s="43"/>
      <c r="I33" s="43"/>
      <c r="J33" s="56"/>
      <c r="K33" s="57"/>
    </row>
    <row r="34" spans="1:11" ht="22.5" customHeight="1" x14ac:dyDescent="0.3">
      <c r="A34" s="15" t="s">
        <v>504</v>
      </c>
      <c r="B34" s="33" t="s">
        <v>501</v>
      </c>
      <c r="C34" s="43">
        <f>COUNTA(G102:G110)</f>
        <v>0</v>
      </c>
      <c r="D34" s="43"/>
      <c r="E34" s="43"/>
      <c r="F34" s="43"/>
      <c r="G34" s="43"/>
      <c r="H34" s="43"/>
      <c r="I34" s="43"/>
      <c r="J34" s="56"/>
      <c r="K34" s="57"/>
    </row>
    <row r="35" spans="1:11" ht="22.5" customHeight="1" x14ac:dyDescent="0.3">
      <c r="A35" s="15" t="s">
        <v>505</v>
      </c>
      <c r="B35" s="33" t="s">
        <v>502</v>
      </c>
      <c r="C35" s="43">
        <f>COUNTA(G112:G120)</f>
        <v>0</v>
      </c>
      <c r="D35" s="43"/>
      <c r="E35" s="43"/>
      <c r="F35" s="43"/>
      <c r="G35" s="43"/>
      <c r="H35" s="43"/>
      <c r="I35" s="43"/>
      <c r="J35" s="56"/>
      <c r="K35" s="57"/>
    </row>
    <row r="36" spans="1:11" ht="22.5" customHeight="1" x14ac:dyDescent="0.3">
      <c r="A36" s="15" t="s">
        <v>506</v>
      </c>
      <c r="B36" s="33" t="s">
        <v>503</v>
      </c>
      <c r="C36" s="43">
        <f>COUNTA(G122:G130)</f>
        <v>0</v>
      </c>
      <c r="D36" s="43"/>
      <c r="E36" s="43"/>
      <c r="F36" s="43"/>
      <c r="G36" s="43"/>
      <c r="H36" s="43"/>
      <c r="I36" s="43"/>
      <c r="J36" s="56"/>
      <c r="K36" s="57"/>
    </row>
    <row r="37" spans="1:11" ht="69" customHeight="1" x14ac:dyDescent="0.3">
      <c r="A37" s="11" t="s">
        <v>507</v>
      </c>
      <c r="B37" s="33" t="s">
        <v>514</v>
      </c>
      <c r="C37" s="43" t="str">
        <f>K82</f>
        <v>ChatGPT를 활용하여 의료기기 규정 문서의 핵심을 빠르게 파악하는 방법을 학습하고, 주요 규제 요구사항을 추출·요약하는 실습을 진행한다. ChatGPT와 Claude Cowork를 활용하여 규제 요구사항을 구조화하고, Excel for Claude를 활용하여 체크리스트를 자동 생성하는 실습을 수행한다. 오후에는 기술문서(TD) 초안 자동 작성과 템플릿화의 기초를 실습하여 규제 문서 AI 자동화의 토대를 다진다.</v>
      </c>
      <c r="D37" s="43"/>
      <c r="E37" s="43"/>
      <c r="F37" s="43"/>
      <c r="G37" s="43"/>
      <c r="H37" s="43"/>
      <c r="I37" s="43"/>
      <c r="J37" s="56"/>
      <c r="K37" s="57"/>
    </row>
    <row r="38" spans="1:11" ht="69" customHeight="1" x14ac:dyDescent="0.3">
      <c r="A38" s="11" t="s">
        <v>508</v>
      </c>
      <c r="B38" s="33" t="s">
        <v>515</v>
      </c>
      <c r="C38" s="43" t="str">
        <f>K92</f>
        <v>Excel for Claude를 활용하여 기존 문서와 최신 규정 간 Gap을 자동으로 도출하는 방법을 학습하고, 실제 의료기기 규정 변경 사례를 적용한 Gap 분석 실습을 진행한다. ChatGPT를 활용한 Deficiency 대응 문장 자동 생성을 기초부터 실제 심사 지적 사례까지 심화 실습하며, Claude Cowork·Excel for Claude·n8n을 활용한 규정 변경 영향 분석 자동화의 설계와 기초 연계 실습을 수행한다.</v>
      </c>
      <c r="D38" s="43"/>
      <c r="E38" s="43"/>
      <c r="F38" s="43"/>
      <c r="G38" s="43"/>
      <c r="H38" s="43"/>
      <c r="I38" s="43"/>
      <c r="J38" s="56"/>
      <c r="K38" s="57"/>
    </row>
    <row r="39" spans="1:11" ht="69" customHeight="1" x14ac:dyDescent="0.3">
      <c r="A39" s="11" t="s">
        <v>509</v>
      </c>
      <c r="B39" s="33" t="s">
        <v>516</v>
      </c>
      <c r="C39" s="43" t="str">
        <f>K102</f>
        <v>ChatGPT·Claude Cowork·n8n을 활용하여 RA 업무 전반의 AI 워크플로를 설계하고, n8n 기반 업무 자동화 파이프라인을 구축하는 실습을 진행한다. 3일간의 학습 내용을 종합하여 TD 템플릿, 규제 체크리스트, RA 워크플로 설계서를 최종 산출물로 완성하고 팀별 발표를 통해 결과를 공유한다. 종합 피드백과 함께 현업에서의 RA AI 자동화 적용 전략을 수립한다.</v>
      </c>
      <c r="D39" s="43"/>
      <c r="E39" s="43"/>
      <c r="F39" s="43"/>
      <c r="G39" s="43"/>
      <c r="H39" s="43"/>
      <c r="I39" s="43"/>
      <c r="J39" s="56"/>
      <c r="K39" s="57"/>
    </row>
    <row r="40" spans="1:11" ht="69" customHeight="1" x14ac:dyDescent="0.3">
      <c r="A40" s="11" t="s">
        <v>510</v>
      </c>
      <c r="B40" s="33" t="s">
        <v>517</v>
      </c>
      <c r="C40" s="43">
        <f>K112</f>
        <v>0</v>
      </c>
      <c r="D40" s="43"/>
      <c r="E40" s="43"/>
      <c r="F40" s="43"/>
      <c r="G40" s="43"/>
      <c r="H40" s="43"/>
      <c r="I40" s="43"/>
      <c r="J40" s="56"/>
      <c r="K40" s="57"/>
    </row>
    <row r="41" spans="1:11" ht="69" customHeight="1" x14ac:dyDescent="0.3">
      <c r="A41" s="11" t="s">
        <v>511</v>
      </c>
      <c r="B41" s="33" t="s">
        <v>518</v>
      </c>
      <c r="C41" s="43">
        <f>K122</f>
        <v>0</v>
      </c>
      <c r="D41" s="43"/>
      <c r="E41" s="43"/>
      <c r="F41" s="43"/>
      <c r="G41" s="43"/>
      <c r="H41" s="43"/>
      <c r="I41" s="43"/>
      <c r="J41" s="56"/>
      <c r="K41" s="57"/>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f>VLOOKUP(J46,통합!$A$2:$I$43,6,FALSE)</f>
        <v>4</v>
      </c>
      <c r="E46" s="31" t="str">
        <f>VLOOKUP(J46,통합!$A$2:$I$43,8,FALSE)</f>
        <v>01</v>
      </c>
      <c r="F46" s="8">
        <f>IF(COUNTIF($D$81:$D$130,D46)=0,"",COUNTIF($D$81:$D$130,D46))</f>
        <v>1</v>
      </c>
      <c r="G46" s="13" t="s">
        <v>50</v>
      </c>
      <c r="H46" s="13" t="s">
        <v>51</v>
      </c>
      <c r="I46" s="8">
        <f>IF(COUNTIF($G$81:$G$130,G46)=0,"",COUNTIF($G$81:$G$130,G46))</f>
        <v>1</v>
      </c>
      <c r="J46" s="11" t="s">
        <v>211</v>
      </c>
    </row>
    <row r="47" spans="1:11" ht="22.5" customHeight="1" x14ac:dyDescent="0.3">
      <c r="C47" s="9">
        <f t="shared" ref="C47:C77" si="0">IFERROR(G47,"")</f>
        <v>0</v>
      </c>
      <c r="D47" s="31"/>
      <c r="E47" s="31"/>
      <c r="F47" s="8" t="str">
        <f t="shared" ref="F47:F77" si="1">IF(COUNTIF($D$81:$D$130,D47)=0,"",COUNTIF($D$81:$D$130,D47))</f>
        <v/>
      </c>
      <c r="G47" s="13"/>
      <c r="H47" s="13"/>
      <c r="I47" s="8" t="str">
        <f t="shared" ref="I47:I77" si="2">IF(COUNTIF($G$81:$G$130,G47)=0,"",COUNTIF($G$81:$G$130,G47))</f>
        <v/>
      </c>
    </row>
    <row r="48" spans="1:11" ht="22.5" customHeight="1" x14ac:dyDescent="0.3">
      <c r="C48" s="9">
        <f t="shared" si="0"/>
        <v>0</v>
      </c>
      <c r="D48" s="31"/>
      <c r="E48" s="31"/>
      <c r="F48" s="8" t="str">
        <f t="shared" si="1"/>
        <v/>
      </c>
      <c r="G48" s="14"/>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 t="shared" si="2"/>
        <v/>
      </c>
    </row>
    <row r="65" spans="3:9" ht="22.5" customHeight="1" x14ac:dyDescent="0.3">
      <c r="C65" s="9">
        <f t="shared" si="0"/>
        <v>0</v>
      </c>
      <c r="D65" s="31"/>
      <c r="E65" s="31"/>
      <c r="F65" s="8" t="str">
        <f t="shared" si="1"/>
        <v/>
      </c>
      <c r="G65" s="13"/>
      <c r="H65" s="13"/>
      <c r="I65" s="8" t="str">
        <f t="shared" si="2"/>
        <v/>
      </c>
    </row>
    <row r="66" spans="3:9" ht="22.5" customHeight="1" x14ac:dyDescent="0.3">
      <c r="C66" s="9">
        <f t="shared" si="0"/>
        <v>0</v>
      </c>
      <c r="D66" s="31"/>
      <c r="E66" s="31"/>
      <c r="F66" s="8" t="str">
        <f t="shared" si="1"/>
        <v/>
      </c>
      <c r="G66" s="13"/>
      <c r="H66" s="13"/>
      <c r="I66" s="8" t="str">
        <f>IF(COUNTIF($G$81:$G$130,#REF!)=0,"",COUNTIF($G$81:$G$130,#REF!))</f>
        <v/>
      </c>
    </row>
    <row r="67" spans="3:9" ht="22.5" customHeight="1" x14ac:dyDescent="0.3">
      <c r="C67" s="9">
        <f t="shared" si="0"/>
        <v>0</v>
      </c>
      <c r="D67" s="31"/>
      <c r="E67" s="31"/>
      <c r="F67" s="8" t="str">
        <f t="shared" si="1"/>
        <v/>
      </c>
      <c r="H67" s="13"/>
      <c r="I67" s="8" t="str">
        <f>IF(COUNTIF($G$81:$G$130,G66)=0,"",COUNTIF($G$81:$G$130,G66))</f>
        <v/>
      </c>
    </row>
    <row r="68" spans="3:9" ht="22.5" customHeight="1" x14ac:dyDescent="0.3">
      <c r="C68" s="9">
        <f t="shared" si="0"/>
        <v>0</v>
      </c>
      <c r="D68" s="31"/>
      <c r="E68" s="31"/>
      <c r="F68" s="8" t="str">
        <f t="shared" si="1"/>
        <v/>
      </c>
      <c r="G68" s="13"/>
      <c r="H68" s="13"/>
      <c r="I68" s="8" t="str">
        <f t="shared" si="2"/>
        <v/>
      </c>
    </row>
    <row r="69" spans="3:9" ht="22.5" customHeight="1" x14ac:dyDescent="0.3">
      <c r="C69" s="9">
        <f t="shared" si="0"/>
        <v>0</v>
      </c>
      <c r="D69" s="31"/>
      <c r="E69" s="31"/>
      <c r="F69" s="8" t="str">
        <f t="shared" si="1"/>
        <v/>
      </c>
      <c r="G69" s="13"/>
      <c r="H69" s="13"/>
      <c r="I69" s="8" t="str">
        <f t="shared" si="2"/>
        <v/>
      </c>
    </row>
    <row r="70" spans="3:9" ht="22.5" customHeight="1" x14ac:dyDescent="0.3">
      <c r="C70" s="9">
        <f t="shared" si="0"/>
        <v>0</v>
      </c>
      <c r="D70" s="31"/>
      <c r="E70" s="31"/>
      <c r="F70" s="8" t="str">
        <f t="shared" si="1"/>
        <v/>
      </c>
      <c r="G70" s="13"/>
      <c r="H70" s="13"/>
      <c r="I70" s="8" t="str">
        <f t="shared" si="2"/>
        <v/>
      </c>
    </row>
    <row r="71" spans="3:9" ht="22.5" customHeight="1" x14ac:dyDescent="0.3">
      <c r="C71" s="9">
        <f t="shared" si="0"/>
        <v>0</v>
      </c>
      <c r="D71" s="31"/>
      <c r="E71" s="31"/>
      <c r="F71" s="8" t="str">
        <f t="shared" si="1"/>
        <v/>
      </c>
      <c r="G71" s="13"/>
      <c r="H71" s="13"/>
      <c r="I71" s="8" t="str">
        <f t="shared" si="2"/>
        <v/>
      </c>
    </row>
    <row r="72" spans="3:9" ht="22.5" customHeight="1" x14ac:dyDescent="0.3">
      <c r="C72" s="9">
        <f t="shared" si="0"/>
        <v>0</v>
      </c>
      <c r="D72" s="31"/>
      <c r="E72" s="31"/>
      <c r="F72" s="8" t="str">
        <f t="shared" si="1"/>
        <v/>
      </c>
      <c r="G72" s="13"/>
      <c r="H72" s="13"/>
      <c r="I72" s="8" t="str">
        <f t="shared" si="2"/>
        <v/>
      </c>
    </row>
    <row r="73" spans="3:9" ht="22.5" customHeight="1" x14ac:dyDescent="0.3">
      <c r="C73" s="9">
        <f t="shared" si="0"/>
        <v>0</v>
      </c>
      <c r="D73" s="31"/>
      <c r="E73" s="31"/>
      <c r="F73" s="8" t="str">
        <f t="shared" si="1"/>
        <v/>
      </c>
      <c r="G73" s="13"/>
      <c r="H73" s="13"/>
      <c r="I73" s="8" t="str">
        <f t="shared" si="2"/>
        <v/>
      </c>
    </row>
    <row r="74" spans="3:9" ht="22.5" customHeight="1" x14ac:dyDescent="0.3">
      <c r="C74" s="9">
        <f t="shared" si="0"/>
        <v>0</v>
      </c>
      <c r="D74" s="31"/>
      <c r="E74" s="31"/>
      <c r="F74" s="8" t="str">
        <f t="shared" si="1"/>
        <v/>
      </c>
      <c r="G74" s="13"/>
      <c r="H74" s="13"/>
      <c r="I74" s="8" t="str">
        <f t="shared" si="2"/>
        <v/>
      </c>
    </row>
    <row r="75" spans="3:9" ht="22.5" customHeight="1" x14ac:dyDescent="0.3">
      <c r="C75" s="9">
        <f t="shared" si="0"/>
        <v>0</v>
      </c>
      <c r="D75" s="31"/>
      <c r="E75" s="31"/>
      <c r="F75" s="8" t="str">
        <f t="shared" si="1"/>
        <v/>
      </c>
      <c r="G75" s="13"/>
      <c r="H75" s="13"/>
      <c r="I75" s="8" t="str">
        <f t="shared" si="2"/>
        <v/>
      </c>
    </row>
    <row r="76" spans="3:9" ht="22.5" customHeight="1" x14ac:dyDescent="0.3">
      <c r="C76" s="9">
        <f t="shared" si="0"/>
        <v>0</v>
      </c>
      <c r="D76" s="31"/>
      <c r="E76" s="31"/>
      <c r="F76" s="8" t="str">
        <f t="shared" si="1"/>
        <v/>
      </c>
      <c r="G76" s="13"/>
      <c r="H76" s="13"/>
      <c r="I76" s="8" t="str">
        <f t="shared" si="2"/>
        <v/>
      </c>
    </row>
    <row r="77" spans="3:9" ht="22.5" customHeight="1" x14ac:dyDescent="0.3">
      <c r="C77" s="9">
        <f t="shared" si="0"/>
        <v>0</v>
      </c>
      <c r="D77" s="32"/>
      <c r="E77" s="32"/>
      <c r="F77" s="29" t="str">
        <f t="shared" si="1"/>
        <v/>
      </c>
      <c r="G77" s="28"/>
      <c r="H77" s="28"/>
      <c r="I77" s="29" t="str">
        <f t="shared" si="2"/>
        <v/>
      </c>
    </row>
    <row r="78" spans="3:9" ht="22.5" customHeight="1" x14ac:dyDescent="0.3">
      <c r="C78" s="8" t="s">
        <v>173</v>
      </c>
      <c r="D78" s="13"/>
      <c r="E78" s="13"/>
      <c r="F78" s="30">
        <f>SUM(F46:F77)</f>
        <v>1</v>
      </c>
      <c r="G78" s="13"/>
      <c r="H78" s="13"/>
      <c r="I78" s="30">
        <f>SUM(I46:I77)</f>
        <v>1</v>
      </c>
    </row>
    <row r="79" spans="3:9" ht="22.5" customHeight="1" x14ac:dyDescent="0.3">
      <c r="C79" s="8"/>
      <c r="D79" s="13"/>
      <c r="E79" s="13"/>
      <c r="F79" s="8"/>
      <c r="G79" s="13"/>
      <c r="H79" s="13"/>
      <c r="I79" s="8"/>
    </row>
    <row r="80" spans="3:9" ht="22.5" customHeight="1" x14ac:dyDescent="0.3"/>
    <row r="81" spans="2:11" ht="22.5" customHeight="1" x14ac:dyDescent="0.3">
      <c r="B81" s="58" t="s">
        <v>9</v>
      </c>
      <c r="C81" s="5" t="s">
        <v>8</v>
      </c>
      <c r="D81" s="5" t="s">
        <v>10</v>
      </c>
      <c r="E81" s="61" t="s">
        <v>13</v>
      </c>
      <c r="F81" s="62"/>
      <c r="G81" s="12" t="s">
        <v>11</v>
      </c>
      <c r="H81" s="61" t="s">
        <v>12</v>
      </c>
      <c r="I81" s="62"/>
      <c r="J81" s="12" t="s">
        <v>14</v>
      </c>
      <c r="K81" s="12" t="s">
        <v>31</v>
      </c>
    </row>
    <row r="82" spans="2:11" ht="22.5" customHeight="1" x14ac:dyDescent="0.3">
      <c r="B82" s="59"/>
      <c r="C82" s="1" t="s">
        <v>0</v>
      </c>
      <c r="D82" s="8">
        <f>IF(VLOOKUP(G82,$C$46:$E$77,2,FALSE)="","",VLOOKUP(G82,$C$46:$E$77,2,FALSE))</f>
        <v>4</v>
      </c>
      <c r="E82" s="63" t="str">
        <f>IF(VLOOKUP(G82,$C$46:$E$77,3,FALSE)="","",VLOOKUP(G82,$C$46:$E$77,3,FALSE))</f>
        <v>01</v>
      </c>
      <c r="F82" s="64"/>
      <c r="G82" s="13" t="s">
        <v>50</v>
      </c>
      <c r="H82" s="63" t="str">
        <f>IFERROR(VLOOKUP(G82,$G$46:$H$77,2,FALSE),"")</f>
        <v>하드웨어 분석하기</v>
      </c>
      <c r="I82" s="64"/>
      <c r="J82" s="15" t="s">
        <v>602</v>
      </c>
      <c r="K82" s="53" t="s">
        <v>608</v>
      </c>
    </row>
    <row r="83" spans="2:11" ht="22.5" customHeight="1" x14ac:dyDescent="0.3">
      <c r="B83" s="59"/>
      <c r="C83" s="1" t="s">
        <v>1</v>
      </c>
      <c r="D83" s="8" t="str">
        <f t="shared" ref="D83:D84" si="3">IF(VLOOKUP(G83,$C$46:$E$77,2,FALSE)="","",VLOOKUP(G83,$C$46:$E$77,2,FALSE))</f>
        <v/>
      </c>
      <c r="E83" s="63" t="str">
        <f t="shared" ref="E83:E84" si="4">IF(VLOOKUP(G83,$C$46:$E$77,3,FALSE)="","",VLOOKUP(G83,$C$46:$E$77,3,FALSE))</f>
        <v/>
      </c>
      <c r="F83" s="64"/>
      <c r="G83" s="13"/>
      <c r="H83" s="63" t="str">
        <f t="shared" ref="H83:H90" si="5">IFERROR(VLOOKUP(G83,$G$46:$H$77,2,FALSE),"")</f>
        <v/>
      </c>
      <c r="I83" s="64"/>
      <c r="J83" s="15" t="s">
        <v>603</v>
      </c>
      <c r="K83" s="65"/>
    </row>
    <row r="84" spans="2:11" ht="22.5" customHeight="1" x14ac:dyDescent="0.3">
      <c r="B84" s="59"/>
      <c r="C84" s="1" t="s">
        <v>2</v>
      </c>
      <c r="D84" s="8" t="str">
        <f t="shared" si="3"/>
        <v/>
      </c>
      <c r="E84" s="63" t="str">
        <f t="shared" si="4"/>
        <v/>
      </c>
      <c r="F84" s="64"/>
      <c r="G84" s="13"/>
      <c r="H84" s="63" t="str">
        <f t="shared" si="5"/>
        <v/>
      </c>
      <c r="I84" s="64"/>
      <c r="J84" s="15" t="s">
        <v>604</v>
      </c>
      <c r="K84" s="65"/>
    </row>
    <row r="85" spans="2:11" ht="22.5" customHeight="1" x14ac:dyDescent="0.3">
      <c r="B85" s="59"/>
      <c r="C85" s="2" t="s">
        <v>18</v>
      </c>
      <c r="D85" s="7"/>
      <c r="E85" s="67"/>
      <c r="F85" s="68"/>
      <c r="G85" s="17"/>
      <c r="H85" s="67"/>
      <c r="I85" s="68"/>
      <c r="J85" s="16"/>
      <c r="K85" s="65"/>
    </row>
    <row r="86" spans="2:11" ht="22.5" customHeight="1" x14ac:dyDescent="0.3">
      <c r="B86" s="59"/>
      <c r="C86" s="1" t="s">
        <v>3</v>
      </c>
      <c r="D86" s="8" t="str">
        <f>IF(VLOOKUP(G86,$C$46:$E$77,2,FALSE)="","",VLOOKUP(G86,$C$46:$E$77,2,FALSE))</f>
        <v/>
      </c>
      <c r="E86" s="63" t="str">
        <f>IF(VLOOKUP(G86,$C$46:$E$77,3,FALSE)="","",VLOOKUP(G86,$C$46:$E$77,3,FALSE))</f>
        <v/>
      </c>
      <c r="F86" s="64"/>
      <c r="G86" s="13"/>
      <c r="H86" s="63" t="str">
        <f t="shared" si="5"/>
        <v/>
      </c>
      <c r="I86" s="64"/>
      <c r="J86" s="15" t="s">
        <v>605</v>
      </c>
      <c r="K86" s="65"/>
    </row>
    <row r="87" spans="2:11" ht="22.5" customHeight="1" x14ac:dyDescent="0.3">
      <c r="B87" s="59"/>
      <c r="C87" s="1" t="s">
        <v>4</v>
      </c>
      <c r="D87" s="8" t="str">
        <f t="shared" ref="D87:D90" si="6">IF(VLOOKUP(G87,$C$46:$E$77,2,FALSE)="","",VLOOKUP(G87,$C$46:$E$77,2,FALSE))</f>
        <v/>
      </c>
      <c r="E87" s="63" t="str">
        <f t="shared" ref="E87:E90" si="7">IF(VLOOKUP(G87,$C$46:$E$77,3,FALSE)="","",VLOOKUP(G87,$C$46:$E$77,3,FALSE))</f>
        <v/>
      </c>
      <c r="F87" s="64"/>
      <c r="G87" s="13"/>
      <c r="H87" s="63" t="str">
        <f t="shared" si="5"/>
        <v/>
      </c>
      <c r="I87" s="64"/>
      <c r="J87" s="15" t="s">
        <v>606</v>
      </c>
      <c r="K87" s="65"/>
    </row>
    <row r="88" spans="2:11" ht="22.5" customHeight="1" x14ac:dyDescent="0.3">
      <c r="B88" s="59"/>
      <c r="C88" s="1" t="s">
        <v>5</v>
      </c>
      <c r="D88" s="8" t="str">
        <f t="shared" si="6"/>
        <v/>
      </c>
      <c r="E88" s="63" t="str">
        <f t="shared" si="7"/>
        <v/>
      </c>
      <c r="F88" s="64"/>
      <c r="G88" s="13"/>
      <c r="H88" s="63" t="str">
        <f t="shared" si="5"/>
        <v/>
      </c>
      <c r="I88" s="64"/>
      <c r="J88" s="15" t="s">
        <v>607</v>
      </c>
      <c r="K88" s="65"/>
    </row>
    <row r="89" spans="2:11" ht="22.5" customHeight="1" x14ac:dyDescent="0.3">
      <c r="B89" s="59"/>
      <c r="C89" s="1" t="s">
        <v>6</v>
      </c>
      <c r="D89" s="8" t="str">
        <f t="shared" si="6"/>
        <v/>
      </c>
      <c r="E89" s="63" t="str">
        <f t="shared" si="7"/>
        <v/>
      </c>
      <c r="F89" s="64"/>
      <c r="G89" s="13"/>
      <c r="H89" s="63" t="str">
        <f t="shared" si="5"/>
        <v/>
      </c>
      <c r="I89" s="64"/>
      <c r="J89" s="15"/>
      <c r="K89" s="65"/>
    </row>
    <row r="90" spans="2:11" ht="22.5" customHeight="1" x14ac:dyDescent="0.3">
      <c r="B90" s="60"/>
      <c r="C90" s="1" t="s">
        <v>7</v>
      </c>
      <c r="D90" s="8" t="str">
        <f t="shared" si="6"/>
        <v/>
      </c>
      <c r="E90" s="63" t="str">
        <f t="shared" si="7"/>
        <v/>
      </c>
      <c r="F90" s="64"/>
      <c r="G90" s="13"/>
      <c r="H90" s="63" t="str">
        <f t="shared" si="5"/>
        <v/>
      </c>
      <c r="I90" s="64"/>
      <c r="J90" s="15"/>
      <c r="K90" s="66"/>
    </row>
    <row r="91" spans="2:11" ht="22.5" customHeight="1" x14ac:dyDescent="0.3">
      <c r="B91" s="58" t="s">
        <v>16</v>
      </c>
      <c r="C91" s="5" t="s">
        <v>8</v>
      </c>
      <c r="D91" s="5" t="s">
        <v>10</v>
      </c>
      <c r="E91" s="61" t="s">
        <v>13</v>
      </c>
      <c r="F91" s="62"/>
      <c r="G91" s="12" t="s">
        <v>11</v>
      </c>
      <c r="H91" s="61" t="s">
        <v>12</v>
      </c>
      <c r="I91" s="62"/>
      <c r="J91" s="12" t="s">
        <v>14</v>
      </c>
      <c r="K91" s="12" t="s">
        <v>32</v>
      </c>
    </row>
    <row r="92" spans="2:11" ht="22.5" customHeight="1" x14ac:dyDescent="0.3">
      <c r="B92" s="59"/>
      <c r="C92" s="1" t="s">
        <v>0</v>
      </c>
      <c r="D92" s="8" t="str">
        <f>IF(VLOOKUP(G92,$C$46:$E$77,2,FALSE)="","",VLOOKUP(G92,$C$46:$E$77,2,FALSE))</f>
        <v/>
      </c>
      <c r="E92" s="63" t="str">
        <f>IF(VLOOKUP(G92,$C$46:$E$77,3,FALSE)="","",VLOOKUP(G92,$C$46:$E$77,3,FALSE))</f>
        <v/>
      </c>
      <c r="F92" s="64"/>
      <c r="G92" s="13"/>
      <c r="H92" s="63" t="str">
        <f>IFERROR(VLOOKUP(G92,$G$46:$H$77,2,FALSE),"")</f>
        <v/>
      </c>
      <c r="I92" s="64"/>
      <c r="J92" s="15" t="s">
        <v>609</v>
      </c>
      <c r="K92" s="54" t="s">
        <v>615</v>
      </c>
    </row>
    <row r="93" spans="2:11" ht="22.5" customHeight="1" x14ac:dyDescent="0.3">
      <c r="B93" s="59"/>
      <c r="C93" s="1" t="s">
        <v>1</v>
      </c>
      <c r="D93" s="8" t="str">
        <f t="shared" ref="D93:D94" si="8">IF(VLOOKUP(G93,$C$46:$E$77,2,FALSE)="","",VLOOKUP(G93,$C$46:$E$77,2,FALSE))</f>
        <v/>
      </c>
      <c r="E93" s="63" t="str">
        <f t="shared" ref="E93:E94" si="9">IF(VLOOKUP(G93,$C$46:$E$77,3,FALSE)="","",VLOOKUP(G93,$C$46:$E$77,3,FALSE))</f>
        <v/>
      </c>
      <c r="F93" s="64"/>
      <c r="G93" s="13"/>
      <c r="H93" s="63" t="str">
        <f t="shared" ref="H93:H100" si="10">IFERROR(VLOOKUP(G93,$G$46:$H$77,2,FALSE),"")</f>
        <v/>
      </c>
      <c r="I93" s="64"/>
      <c r="J93" s="15" t="s">
        <v>610</v>
      </c>
      <c r="K93" s="65"/>
    </row>
    <row r="94" spans="2:11" ht="22.5" customHeight="1" x14ac:dyDescent="0.3">
      <c r="B94" s="59"/>
      <c r="C94" s="1" t="s">
        <v>2</v>
      </c>
      <c r="D94" s="8" t="str">
        <f t="shared" si="8"/>
        <v/>
      </c>
      <c r="E94" s="63" t="str">
        <f t="shared" si="9"/>
        <v/>
      </c>
      <c r="F94" s="64"/>
      <c r="G94" s="13"/>
      <c r="H94" s="63" t="str">
        <f t="shared" si="10"/>
        <v/>
      </c>
      <c r="I94" s="64"/>
      <c r="J94" s="15" t="s">
        <v>611</v>
      </c>
      <c r="K94" s="65"/>
    </row>
    <row r="95" spans="2:11" ht="22.5" customHeight="1" x14ac:dyDescent="0.3">
      <c r="B95" s="59"/>
      <c r="C95" s="2" t="s">
        <v>18</v>
      </c>
      <c r="D95" s="7"/>
      <c r="E95" s="67"/>
      <c r="F95" s="68"/>
      <c r="G95" s="17"/>
      <c r="H95" s="67"/>
      <c r="I95" s="68"/>
      <c r="J95" s="16"/>
      <c r="K95" s="65"/>
    </row>
    <row r="96" spans="2:11" ht="22.5" customHeight="1" x14ac:dyDescent="0.3">
      <c r="B96" s="59"/>
      <c r="C96" s="1" t="s">
        <v>3</v>
      </c>
      <c r="D96" s="8" t="str">
        <f>IF(VLOOKUP(G96,$C$46:$E$77,2,FALSE)="","",VLOOKUP(G96,$C$46:$E$77,2,FALSE))</f>
        <v/>
      </c>
      <c r="E96" s="63" t="str">
        <f>IF(VLOOKUP(G96,$C$46:$E$77,3,FALSE)="","",VLOOKUP(G96,$C$46:$E$77,3,FALSE))</f>
        <v/>
      </c>
      <c r="F96" s="64"/>
      <c r="G96" s="13"/>
      <c r="H96" s="63" t="str">
        <f t="shared" si="10"/>
        <v/>
      </c>
      <c r="I96" s="64"/>
      <c r="J96" s="15" t="s">
        <v>612</v>
      </c>
      <c r="K96" s="65"/>
    </row>
    <row r="97" spans="2:11" ht="22.5" customHeight="1" x14ac:dyDescent="0.3">
      <c r="B97" s="59"/>
      <c r="C97" s="1" t="s">
        <v>4</v>
      </c>
      <c r="D97" s="8" t="str">
        <f t="shared" ref="D97:D100" si="11">IF(VLOOKUP(G97,$C$46:$E$77,2,FALSE)="","",VLOOKUP(G97,$C$46:$E$77,2,FALSE))</f>
        <v/>
      </c>
      <c r="E97" s="63" t="str">
        <f t="shared" ref="E97:E100" si="12">IF(VLOOKUP(G97,$C$46:$E$77,3,FALSE)="","",VLOOKUP(G97,$C$46:$E$77,3,FALSE))</f>
        <v/>
      </c>
      <c r="F97" s="64"/>
      <c r="G97" s="13"/>
      <c r="H97" s="63" t="str">
        <f t="shared" si="10"/>
        <v/>
      </c>
      <c r="I97" s="64"/>
      <c r="J97" s="15" t="s">
        <v>613</v>
      </c>
      <c r="K97" s="65"/>
    </row>
    <row r="98" spans="2:11" ht="22.5" customHeight="1" x14ac:dyDescent="0.3">
      <c r="B98" s="59"/>
      <c r="C98" s="1" t="s">
        <v>5</v>
      </c>
      <c r="D98" s="8" t="str">
        <f t="shared" si="11"/>
        <v/>
      </c>
      <c r="E98" s="63" t="str">
        <f t="shared" si="12"/>
        <v/>
      </c>
      <c r="F98" s="64"/>
      <c r="G98" s="13"/>
      <c r="H98" s="63" t="str">
        <f t="shared" si="10"/>
        <v/>
      </c>
      <c r="I98" s="64"/>
      <c r="J98" s="15" t="s">
        <v>614</v>
      </c>
      <c r="K98" s="65"/>
    </row>
    <row r="99" spans="2:11" ht="22.5" customHeight="1" x14ac:dyDescent="0.3">
      <c r="B99" s="59"/>
      <c r="C99" s="1" t="s">
        <v>6</v>
      </c>
      <c r="D99" s="8" t="str">
        <f t="shared" si="11"/>
        <v/>
      </c>
      <c r="E99" s="63" t="str">
        <f t="shared" si="12"/>
        <v/>
      </c>
      <c r="F99" s="64"/>
      <c r="G99" s="13"/>
      <c r="H99" s="63" t="str">
        <f t="shared" si="10"/>
        <v/>
      </c>
      <c r="I99" s="64"/>
      <c r="J99" s="15"/>
      <c r="K99" s="65"/>
    </row>
    <row r="100" spans="2:11" ht="22.5" customHeight="1" x14ac:dyDescent="0.3">
      <c r="B100" s="60"/>
      <c r="C100" s="1" t="s">
        <v>7</v>
      </c>
      <c r="D100" s="8" t="str">
        <f t="shared" si="11"/>
        <v/>
      </c>
      <c r="E100" s="63" t="str">
        <f t="shared" si="12"/>
        <v/>
      </c>
      <c r="F100" s="64"/>
      <c r="G100" s="13"/>
      <c r="H100" s="63" t="str">
        <f t="shared" si="10"/>
        <v/>
      </c>
      <c r="I100" s="64"/>
      <c r="J100" s="15"/>
      <c r="K100" s="66"/>
    </row>
    <row r="101" spans="2:11" ht="22.5" customHeight="1" x14ac:dyDescent="0.3">
      <c r="B101" s="58" t="s">
        <v>17</v>
      </c>
      <c r="C101" s="5" t="s">
        <v>8</v>
      </c>
      <c r="D101" s="5" t="s">
        <v>10</v>
      </c>
      <c r="E101" s="61" t="s">
        <v>13</v>
      </c>
      <c r="F101" s="62"/>
      <c r="G101" s="12" t="s">
        <v>11</v>
      </c>
      <c r="H101" s="61" t="s">
        <v>12</v>
      </c>
      <c r="I101" s="62"/>
      <c r="J101" s="12" t="s">
        <v>14</v>
      </c>
      <c r="K101" s="12" t="s">
        <v>33</v>
      </c>
    </row>
    <row r="102" spans="2:11" ht="22.5" customHeight="1" x14ac:dyDescent="0.3">
      <c r="B102" s="59"/>
      <c r="C102" s="1" t="s">
        <v>0</v>
      </c>
      <c r="D102" s="8" t="str">
        <f>IF(VLOOKUP(G102,$C$46:$E$77,2,FALSE)="","",VLOOKUP(G102,$C$46:$E$77,2,FALSE))</f>
        <v/>
      </c>
      <c r="E102" s="63" t="str">
        <f>IF(VLOOKUP(G102,$C$46:$E$77,3,FALSE)="","",VLOOKUP(G102,$C$46:$E$77,3,FALSE))</f>
        <v/>
      </c>
      <c r="F102" s="64"/>
      <c r="G102" s="13"/>
      <c r="H102" s="63" t="str">
        <f>IFERROR(VLOOKUP(G102,$G$46:$H$77,2,FALSE),"")</f>
        <v/>
      </c>
      <c r="I102" s="64"/>
      <c r="J102" s="15" t="s">
        <v>616</v>
      </c>
      <c r="K102" s="54" t="s">
        <v>621</v>
      </c>
    </row>
    <row r="103" spans="2:11" ht="22.5" customHeight="1" x14ac:dyDescent="0.3">
      <c r="B103" s="59"/>
      <c r="C103" s="1" t="s">
        <v>1</v>
      </c>
      <c r="D103" s="8" t="str">
        <f t="shared" ref="D103:D104" si="13">IF(VLOOKUP(G103,$C$46:$E$77,2,FALSE)="","",VLOOKUP(G103,$C$46:$E$77,2,FALSE))</f>
        <v/>
      </c>
      <c r="E103" s="63" t="str">
        <f t="shared" ref="E103:E104" si="14">IF(VLOOKUP(G103,$C$46:$E$77,3,FALSE)="","",VLOOKUP(G103,$C$46:$E$77,3,FALSE))</f>
        <v/>
      </c>
      <c r="F103" s="64"/>
      <c r="G103" s="13"/>
      <c r="H103" s="63" t="str">
        <f t="shared" ref="H103:H110" si="15">IFERROR(VLOOKUP(G103,$G$46:$H$77,2,FALSE),"")</f>
        <v/>
      </c>
      <c r="I103" s="64"/>
      <c r="J103" s="15" t="s">
        <v>617</v>
      </c>
      <c r="K103" s="65"/>
    </row>
    <row r="104" spans="2:11" ht="22.5" customHeight="1" x14ac:dyDescent="0.3">
      <c r="B104" s="59"/>
      <c r="C104" s="1" t="s">
        <v>2</v>
      </c>
      <c r="D104" s="8" t="str">
        <f t="shared" si="13"/>
        <v/>
      </c>
      <c r="E104" s="63" t="str">
        <f t="shared" si="14"/>
        <v/>
      </c>
      <c r="F104" s="64"/>
      <c r="G104" s="13"/>
      <c r="H104" s="63" t="str">
        <f t="shared" si="15"/>
        <v/>
      </c>
      <c r="I104" s="64"/>
      <c r="J104" s="15" t="s">
        <v>618</v>
      </c>
      <c r="K104" s="65"/>
    </row>
    <row r="105" spans="2:11" ht="22.5" customHeight="1" x14ac:dyDescent="0.3">
      <c r="B105" s="59"/>
      <c r="C105" s="2" t="s">
        <v>18</v>
      </c>
      <c r="D105" s="7"/>
      <c r="E105" s="67"/>
      <c r="F105" s="68"/>
      <c r="G105" s="17"/>
      <c r="H105" s="67"/>
      <c r="I105" s="68"/>
      <c r="J105" s="16"/>
      <c r="K105" s="65"/>
    </row>
    <row r="106" spans="2:11" ht="22.5" customHeight="1" x14ac:dyDescent="0.3">
      <c r="B106" s="59"/>
      <c r="C106" s="1" t="s">
        <v>3</v>
      </c>
      <c r="D106" s="8" t="str">
        <f>IF(VLOOKUP(G106,$C$46:$E$77,2,FALSE)="","",VLOOKUP(G106,$C$46:$E$77,2,FALSE))</f>
        <v/>
      </c>
      <c r="E106" s="63" t="str">
        <f>IF(VLOOKUP(G106,$C$46:$E$77,3,FALSE)="","",VLOOKUP(G106,$C$46:$E$77,3,FALSE))</f>
        <v/>
      </c>
      <c r="F106" s="64"/>
      <c r="G106" s="13"/>
      <c r="H106" s="63" t="str">
        <f t="shared" si="15"/>
        <v/>
      </c>
      <c r="I106" s="64"/>
      <c r="J106" s="15" t="s">
        <v>619</v>
      </c>
      <c r="K106" s="65"/>
    </row>
    <row r="107" spans="2:11" ht="22.5" customHeight="1" x14ac:dyDescent="0.3">
      <c r="B107" s="59"/>
      <c r="C107" s="1" t="s">
        <v>4</v>
      </c>
      <c r="D107" s="8" t="str">
        <f t="shared" ref="D107:D110" si="16">IF(VLOOKUP(G107,$C$46:$E$77,2,FALSE)="","",VLOOKUP(G107,$C$46:$E$77,2,FALSE))</f>
        <v/>
      </c>
      <c r="E107" s="63" t="str">
        <f t="shared" ref="E107:E110" si="17">IF(VLOOKUP(G107,$C$46:$E$77,3,FALSE)="","",VLOOKUP(G107,$C$46:$E$77,3,FALSE))</f>
        <v/>
      </c>
      <c r="F107" s="64"/>
      <c r="G107" s="13"/>
      <c r="H107" s="63" t="str">
        <f t="shared" si="15"/>
        <v/>
      </c>
      <c r="I107" s="64"/>
      <c r="J107" s="15" t="s">
        <v>620</v>
      </c>
      <c r="K107" s="65"/>
    </row>
    <row r="108" spans="2:11" ht="22.5" customHeight="1" x14ac:dyDescent="0.3">
      <c r="B108" s="59"/>
      <c r="C108" s="1" t="s">
        <v>5</v>
      </c>
      <c r="D108" s="8" t="str">
        <f t="shared" si="16"/>
        <v/>
      </c>
      <c r="E108" s="63" t="str">
        <f t="shared" si="17"/>
        <v/>
      </c>
      <c r="F108" s="64"/>
      <c r="G108" s="13"/>
      <c r="H108" s="63" t="str">
        <f t="shared" si="15"/>
        <v/>
      </c>
      <c r="I108" s="64"/>
      <c r="J108" s="15" t="s">
        <v>590</v>
      </c>
      <c r="K108" s="65"/>
    </row>
    <row r="109" spans="2:11" ht="22.5" customHeight="1" x14ac:dyDescent="0.3">
      <c r="B109" s="59"/>
      <c r="C109" s="1" t="s">
        <v>6</v>
      </c>
      <c r="D109" s="8" t="str">
        <f t="shared" si="16"/>
        <v/>
      </c>
      <c r="E109" s="63" t="str">
        <f t="shared" si="17"/>
        <v/>
      </c>
      <c r="F109" s="64"/>
      <c r="G109" s="13"/>
      <c r="H109" s="63" t="str">
        <f t="shared" si="15"/>
        <v/>
      </c>
      <c r="I109" s="64"/>
      <c r="J109" s="15"/>
      <c r="K109" s="65"/>
    </row>
    <row r="110" spans="2:11" ht="22.5" customHeight="1" x14ac:dyDescent="0.3">
      <c r="B110" s="60"/>
      <c r="C110" s="1" t="s">
        <v>7</v>
      </c>
      <c r="D110" s="8" t="str">
        <f t="shared" si="16"/>
        <v/>
      </c>
      <c r="E110" s="63" t="str">
        <f t="shared" si="17"/>
        <v/>
      </c>
      <c r="F110" s="64"/>
      <c r="G110" s="13"/>
      <c r="H110" s="63" t="str">
        <f t="shared" si="15"/>
        <v/>
      </c>
      <c r="I110" s="64"/>
      <c r="J110" s="15"/>
      <c r="K110" s="66"/>
    </row>
    <row r="111" spans="2:11" ht="22.5" customHeight="1" x14ac:dyDescent="0.3">
      <c r="B111" s="58" t="s">
        <v>19</v>
      </c>
      <c r="C111" s="5" t="s">
        <v>8</v>
      </c>
      <c r="D111" s="5" t="s">
        <v>10</v>
      </c>
      <c r="E111" s="61" t="s">
        <v>13</v>
      </c>
      <c r="F111" s="62"/>
      <c r="G111" s="12" t="s">
        <v>11</v>
      </c>
      <c r="H111" s="61" t="s">
        <v>12</v>
      </c>
      <c r="I111" s="62"/>
      <c r="J111" s="12" t="s">
        <v>14</v>
      </c>
      <c r="K111" s="12" t="s">
        <v>34</v>
      </c>
    </row>
    <row r="112" spans="2:11" ht="22.5" customHeight="1" x14ac:dyDescent="0.3">
      <c r="B112" s="59"/>
      <c r="C112" s="1" t="s">
        <v>0</v>
      </c>
      <c r="D112" s="8" t="str">
        <f>IF(VLOOKUP(G112,$C$46:$E$77,2,FALSE)="","",VLOOKUP(G112,$C$46:$E$77,2,FALSE))</f>
        <v/>
      </c>
      <c r="E112" s="63" t="str">
        <f>IF(VLOOKUP(G112,$C$46:$E$77,3,FALSE)="","",VLOOKUP(G112,$C$46:$E$77,3,FALSE))</f>
        <v/>
      </c>
      <c r="F112" s="64"/>
      <c r="G112" s="13"/>
      <c r="H112" s="63" t="str">
        <f>IFERROR(VLOOKUP(G112,$G$46:$H$77,2,FALSE),"")</f>
        <v/>
      </c>
      <c r="I112" s="64"/>
      <c r="J112" s="15"/>
      <c r="K112" s="54"/>
    </row>
    <row r="113" spans="2:11" ht="22.5" customHeight="1" x14ac:dyDescent="0.3">
      <c r="B113" s="59"/>
      <c r="C113" s="1" t="s">
        <v>1</v>
      </c>
      <c r="D113" s="8" t="str">
        <f t="shared" ref="D113:D114" si="18">IF(VLOOKUP(G113,$C$46:$E$77,2,FALSE)="","",VLOOKUP(G113,$C$46:$E$77,2,FALSE))</f>
        <v/>
      </c>
      <c r="E113" s="63" t="str">
        <f t="shared" ref="E113:E114" si="19">IF(VLOOKUP(G113,$C$46:$E$77,3,FALSE)="","",VLOOKUP(G113,$C$46:$E$77,3,FALSE))</f>
        <v/>
      </c>
      <c r="F113" s="64"/>
      <c r="G113" s="13"/>
      <c r="H113" s="63" t="str">
        <f t="shared" ref="H113:H120" si="20">IFERROR(VLOOKUP(G113,$G$46:$H$77,2,FALSE),"")</f>
        <v/>
      </c>
      <c r="I113" s="64"/>
      <c r="J113" s="15"/>
      <c r="K113" s="65"/>
    </row>
    <row r="114" spans="2:11" ht="22.5" customHeight="1" x14ac:dyDescent="0.3">
      <c r="B114" s="59"/>
      <c r="C114" s="1" t="s">
        <v>2</v>
      </c>
      <c r="D114" s="8" t="str">
        <f t="shared" si="18"/>
        <v/>
      </c>
      <c r="E114" s="63" t="str">
        <f t="shared" si="19"/>
        <v/>
      </c>
      <c r="F114" s="64"/>
      <c r="G114" s="13"/>
      <c r="H114" s="63" t="str">
        <f t="shared" si="20"/>
        <v/>
      </c>
      <c r="I114" s="64"/>
      <c r="J114" s="15"/>
      <c r="K114" s="65"/>
    </row>
    <row r="115" spans="2:11" ht="22.5" customHeight="1" x14ac:dyDescent="0.3">
      <c r="B115" s="59"/>
      <c r="C115" s="2" t="s">
        <v>18</v>
      </c>
      <c r="D115" s="7"/>
      <c r="E115" s="67"/>
      <c r="F115" s="68"/>
      <c r="G115" s="17"/>
      <c r="H115" s="67"/>
      <c r="I115" s="68"/>
      <c r="J115" s="16"/>
      <c r="K115" s="65"/>
    </row>
    <row r="116" spans="2:11" ht="22.5" customHeight="1" x14ac:dyDescent="0.3">
      <c r="B116" s="59"/>
      <c r="C116" s="1" t="s">
        <v>3</v>
      </c>
      <c r="D116" s="8" t="str">
        <f>IF(VLOOKUP(G116,$C$46:$E$77,2,FALSE)="","",VLOOKUP(G116,$C$46:$E$77,2,FALSE))</f>
        <v/>
      </c>
      <c r="E116" s="63" t="str">
        <f>IF(VLOOKUP(G116,$C$46:$E$77,3,FALSE)="","",VLOOKUP(G116,$C$46:$E$77,3,FALSE))</f>
        <v/>
      </c>
      <c r="F116" s="64"/>
      <c r="G116" s="13"/>
      <c r="H116" s="63" t="str">
        <f t="shared" si="20"/>
        <v/>
      </c>
      <c r="I116" s="64"/>
      <c r="J116" s="15"/>
      <c r="K116" s="65"/>
    </row>
    <row r="117" spans="2:11" ht="22.5" customHeight="1" x14ac:dyDescent="0.3">
      <c r="B117" s="59"/>
      <c r="C117" s="1" t="s">
        <v>4</v>
      </c>
      <c r="D117" s="8" t="str">
        <f t="shared" ref="D117:D120" si="21">IF(VLOOKUP(G117,$C$46:$E$77,2,FALSE)="","",VLOOKUP(G117,$C$46:$E$77,2,FALSE))</f>
        <v/>
      </c>
      <c r="E117" s="63" t="str">
        <f t="shared" ref="E117:E120" si="22">IF(VLOOKUP(G117,$C$46:$E$77,3,FALSE)="","",VLOOKUP(G117,$C$46:$E$77,3,FALSE))</f>
        <v/>
      </c>
      <c r="F117" s="64"/>
      <c r="G117" s="13"/>
      <c r="H117" s="63" t="str">
        <f t="shared" si="20"/>
        <v/>
      </c>
      <c r="I117" s="64"/>
      <c r="J117" s="15"/>
      <c r="K117" s="65"/>
    </row>
    <row r="118" spans="2:11" ht="22.5" customHeight="1" x14ac:dyDescent="0.3">
      <c r="B118" s="59"/>
      <c r="C118" s="1" t="s">
        <v>5</v>
      </c>
      <c r="D118" s="8" t="str">
        <f t="shared" si="21"/>
        <v/>
      </c>
      <c r="E118" s="63" t="str">
        <f t="shared" si="22"/>
        <v/>
      </c>
      <c r="F118" s="64"/>
      <c r="G118" s="13"/>
      <c r="H118" s="63" t="str">
        <f t="shared" si="20"/>
        <v/>
      </c>
      <c r="I118" s="64"/>
      <c r="J118" s="15"/>
      <c r="K118" s="65"/>
    </row>
    <row r="119" spans="2:11" ht="22.5" customHeight="1" x14ac:dyDescent="0.3">
      <c r="B119" s="59"/>
      <c r="C119" s="1" t="s">
        <v>6</v>
      </c>
      <c r="D119" s="8" t="str">
        <f t="shared" si="21"/>
        <v/>
      </c>
      <c r="E119" s="63" t="str">
        <f t="shared" si="22"/>
        <v/>
      </c>
      <c r="F119" s="64"/>
      <c r="G119" s="13"/>
      <c r="H119" s="63" t="str">
        <f t="shared" si="20"/>
        <v/>
      </c>
      <c r="I119" s="64"/>
      <c r="J119" s="15"/>
      <c r="K119" s="65"/>
    </row>
    <row r="120" spans="2:11" ht="22.5" customHeight="1" x14ac:dyDescent="0.3">
      <c r="B120" s="60"/>
      <c r="C120" s="1" t="s">
        <v>7</v>
      </c>
      <c r="D120" s="8" t="str">
        <f t="shared" si="21"/>
        <v/>
      </c>
      <c r="E120" s="63" t="str">
        <f t="shared" si="22"/>
        <v/>
      </c>
      <c r="F120" s="64"/>
      <c r="G120" s="13"/>
      <c r="H120" s="63" t="str">
        <f t="shared" si="20"/>
        <v/>
      </c>
      <c r="I120" s="64"/>
      <c r="J120" s="15"/>
      <c r="K120" s="66"/>
    </row>
    <row r="121" spans="2:11" ht="22.5" customHeight="1" x14ac:dyDescent="0.3">
      <c r="B121" s="58" t="s">
        <v>20</v>
      </c>
      <c r="C121" s="5" t="s">
        <v>8</v>
      </c>
      <c r="D121" s="5" t="s">
        <v>10</v>
      </c>
      <c r="E121" s="61" t="s">
        <v>13</v>
      </c>
      <c r="F121" s="62"/>
      <c r="G121" s="12" t="s">
        <v>11</v>
      </c>
      <c r="H121" s="61" t="s">
        <v>12</v>
      </c>
      <c r="I121" s="62"/>
      <c r="J121" s="12" t="s">
        <v>14</v>
      </c>
      <c r="K121" s="12" t="s">
        <v>35</v>
      </c>
    </row>
    <row r="122" spans="2:11" ht="22.5" customHeight="1" x14ac:dyDescent="0.3">
      <c r="B122" s="59"/>
      <c r="C122" s="1" t="s">
        <v>0</v>
      </c>
      <c r="D122" s="8" t="str">
        <f>IF(VLOOKUP(G122,$C$46:$E$77,2,FALSE)="","",VLOOKUP(G122,$C$46:$E$77,2,FALSE))</f>
        <v/>
      </c>
      <c r="E122" s="63" t="str">
        <f>IF(VLOOKUP(G122,$C$46:$E$77,3,FALSE)="","",VLOOKUP(G122,$C$46:$E$77,3,FALSE))</f>
        <v/>
      </c>
      <c r="F122" s="64"/>
      <c r="G122" s="13"/>
      <c r="H122" s="63" t="str">
        <f>IFERROR(VLOOKUP(G122,$G$46:$H$77,2,FALSE),"")</f>
        <v/>
      </c>
      <c r="I122" s="64"/>
      <c r="J122" s="15"/>
      <c r="K122" s="54"/>
    </row>
    <row r="123" spans="2:11" ht="22.5" customHeight="1" x14ac:dyDescent="0.3">
      <c r="B123" s="59"/>
      <c r="C123" s="1" t="s">
        <v>1</v>
      </c>
      <c r="D123" s="8" t="str">
        <f t="shared" ref="D123:D124" si="23">IF(VLOOKUP(G123,$C$46:$E$77,2,FALSE)="","",VLOOKUP(G123,$C$46:$E$77,2,FALSE))</f>
        <v/>
      </c>
      <c r="E123" s="63" t="str">
        <f t="shared" ref="E123:E124" si="24">IF(VLOOKUP(G123,$C$46:$E$77,3,FALSE)="","",VLOOKUP(G123,$C$46:$E$77,3,FALSE))</f>
        <v/>
      </c>
      <c r="F123" s="64"/>
      <c r="G123" s="13"/>
      <c r="H123" s="63" t="str">
        <f t="shared" ref="H123:H130" si="25">IFERROR(VLOOKUP(G123,$G$46:$H$77,2,FALSE),"")</f>
        <v/>
      </c>
      <c r="I123" s="64"/>
      <c r="J123" s="15"/>
      <c r="K123" s="65"/>
    </row>
    <row r="124" spans="2:11" ht="22.5" customHeight="1" x14ac:dyDescent="0.3">
      <c r="B124" s="59"/>
      <c r="C124" s="1" t="s">
        <v>2</v>
      </c>
      <c r="D124" s="8" t="str">
        <f t="shared" si="23"/>
        <v/>
      </c>
      <c r="E124" s="63" t="str">
        <f t="shared" si="24"/>
        <v/>
      </c>
      <c r="F124" s="64"/>
      <c r="G124" s="13"/>
      <c r="H124" s="63" t="str">
        <f t="shared" si="25"/>
        <v/>
      </c>
      <c r="I124" s="64"/>
      <c r="J124" s="15"/>
      <c r="K124" s="65"/>
    </row>
    <row r="125" spans="2:11" ht="22.5" customHeight="1" x14ac:dyDescent="0.3">
      <c r="B125" s="59"/>
      <c r="C125" s="2" t="s">
        <v>18</v>
      </c>
      <c r="D125" s="7"/>
      <c r="E125" s="67"/>
      <c r="F125" s="68"/>
      <c r="G125" s="17"/>
      <c r="H125" s="67"/>
      <c r="I125" s="68"/>
      <c r="J125" s="16"/>
      <c r="K125" s="65"/>
    </row>
    <row r="126" spans="2:11" ht="22.5" customHeight="1" x14ac:dyDescent="0.3">
      <c r="B126" s="59"/>
      <c r="C126" s="1" t="s">
        <v>3</v>
      </c>
      <c r="D126" s="8" t="str">
        <f>IF(VLOOKUP(G126,$C$46:$E$77,2,FALSE)="","",VLOOKUP(G126,$C$46:$E$77,2,FALSE))</f>
        <v/>
      </c>
      <c r="E126" s="63" t="str">
        <f>IF(VLOOKUP(G126,$C$46:$E$77,3,FALSE)="","",VLOOKUP(G126,$C$46:$E$77,3,FALSE))</f>
        <v/>
      </c>
      <c r="F126" s="64"/>
      <c r="G126" s="13"/>
      <c r="H126" s="63" t="str">
        <f t="shared" si="25"/>
        <v/>
      </c>
      <c r="I126" s="64"/>
      <c r="J126" s="15"/>
      <c r="K126" s="65"/>
    </row>
    <row r="127" spans="2:11" ht="22.5" customHeight="1" x14ac:dyDescent="0.3">
      <c r="B127" s="59"/>
      <c r="C127" s="1" t="s">
        <v>4</v>
      </c>
      <c r="D127" s="8" t="str">
        <f t="shared" ref="D127:D130" si="26">IF(VLOOKUP(G127,$C$46:$E$77,2,FALSE)="","",VLOOKUP(G127,$C$46:$E$77,2,FALSE))</f>
        <v/>
      </c>
      <c r="E127" s="63" t="str">
        <f t="shared" ref="E127:E130" si="27">IF(VLOOKUP(G127,$C$46:$E$77,3,FALSE)="","",VLOOKUP(G127,$C$46:$E$77,3,FALSE))</f>
        <v/>
      </c>
      <c r="F127" s="64"/>
      <c r="G127" s="13"/>
      <c r="H127" s="63" t="str">
        <f t="shared" si="25"/>
        <v/>
      </c>
      <c r="I127" s="64"/>
      <c r="J127" s="15"/>
      <c r="K127" s="65"/>
    </row>
    <row r="128" spans="2:11" ht="22.5" customHeight="1" x14ac:dyDescent="0.3">
      <c r="B128" s="59"/>
      <c r="C128" s="1" t="s">
        <v>5</v>
      </c>
      <c r="D128" s="8" t="str">
        <f t="shared" si="26"/>
        <v/>
      </c>
      <c r="E128" s="63" t="str">
        <f t="shared" si="27"/>
        <v/>
      </c>
      <c r="F128" s="64"/>
      <c r="G128" s="13"/>
      <c r="H128" s="63" t="str">
        <f t="shared" si="25"/>
        <v/>
      </c>
      <c r="I128" s="64"/>
      <c r="J128" s="15"/>
      <c r="K128" s="65"/>
    </row>
    <row r="129" spans="2:11" ht="22.5" customHeight="1" x14ac:dyDescent="0.3">
      <c r="B129" s="59"/>
      <c r="C129" s="1" t="s">
        <v>6</v>
      </c>
      <c r="D129" s="8" t="str">
        <f t="shared" si="26"/>
        <v/>
      </c>
      <c r="E129" s="63" t="str">
        <f t="shared" si="27"/>
        <v/>
      </c>
      <c r="F129" s="64"/>
      <c r="G129" s="13"/>
      <c r="H129" s="63" t="str">
        <f t="shared" si="25"/>
        <v/>
      </c>
      <c r="I129" s="64"/>
      <c r="J129" s="15"/>
      <c r="K129" s="65"/>
    </row>
    <row r="130" spans="2:11" ht="22.5" customHeight="1" x14ac:dyDescent="0.3">
      <c r="B130" s="60"/>
      <c r="C130" s="1" t="s">
        <v>7</v>
      </c>
      <c r="D130" s="8" t="str">
        <f t="shared" si="26"/>
        <v/>
      </c>
      <c r="E130" s="63" t="str">
        <f t="shared" si="27"/>
        <v/>
      </c>
      <c r="F130" s="64"/>
      <c r="G130" s="13"/>
      <c r="H130" s="63" t="str">
        <f t="shared" si="25"/>
        <v/>
      </c>
      <c r="I130" s="64"/>
      <c r="J130" s="15"/>
      <c r="K130" s="66"/>
    </row>
    <row r="131" spans="2:11" ht="22.5" customHeight="1" x14ac:dyDescent="0.3">
      <c r="K131" s="11">
        <f>COUNTA(K82,K92,K102,K112,K122)</f>
        <v>3</v>
      </c>
    </row>
    <row r="132" spans="2:11" ht="22.5" customHeight="1" x14ac:dyDescent="0.3"/>
    <row r="133" spans="2:11" ht="22.5" customHeight="1" x14ac:dyDescent="0.3"/>
    <row r="134" spans="2:11" ht="22.5" customHeight="1" x14ac:dyDescent="0.3"/>
    <row r="135" spans="2:11" ht="22.5" customHeight="1" x14ac:dyDescent="0.3"/>
    <row r="136" spans="2:11" ht="22.5" customHeight="1" x14ac:dyDescent="0.3"/>
    <row r="137" spans="2:11" ht="22.5" customHeight="1" x14ac:dyDescent="0.3"/>
    <row r="138" spans="2:11" ht="22.5" customHeight="1" x14ac:dyDescent="0.3"/>
    <row r="139" spans="2:11" ht="22.5" customHeight="1" x14ac:dyDescent="0.3"/>
    <row r="140" spans="2:11" ht="22.5" customHeight="1" x14ac:dyDescent="0.3"/>
    <row r="141" spans="2:11" ht="22.5" customHeight="1" x14ac:dyDescent="0.3"/>
    <row r="142" spans="2:11"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C19BDC57-972D-45F8-96F4-4C2D529334AA}">
          <x14:formula1>
            <xm:f>통합!$A$2:$A$52</xm:f>
          </x14:formula1>
          <xm:sqref>C2:I2</xm:sqref>
        </x14:dataValidation>
        <x14:dataValidation type="list" allowBlank="1" showInputMessage="1" showErrorMessage="1" xr:uid="{E1711393-1EB8-4891-8223-0EDE03FA9997}">
          <x14:formula1>
            <xm:f>통합!$A$2:$A$43</xm:f>
          </x14:formula1>
          <xm:sqref>J46:J77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4587-89FA-4BF5-8339-FF2D1C7F28BA}">
  <dimension ref="A1:O142"/>
  <sheetViews>
    <sheetView zoomScaleNormal="100" workbookViewId="0">
      <selection activeCell="C29" sqref="C29:I2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6" t="s">
        <v>231</v>
      </c>
      <c r="B1" s="46"/>
      <c r="C1" s="46"/>
      <c r="D1" s="46"/>
      <c r="E1" s="46"/>
      <c r="F1" s="46"/>
      <c r="G1" s="46"/>
      <c r="H1" s="46"/>
      <c r="I1" s="46"/>
      <c r="J1" s="46"/>
      <c r="K1" s="46"/>
    </row>
    <row r="2" spans="1:15" ht="21.75" customHeight="1" x14ac:dyDescent="0.3">
      <c r="B2" s="4" t="s">
        <v>205</v>
      </c>
      <c r="C2" s="43" t="s">
        <v>346</v>
      </c>
      <c r="D2" s="43"/>
      <c r="E2" s="43"/>
      <c r="F2" s="43"/>
      <c r="G2" s="43"/>
      <c r="H2" s="43"/>
      <c r="I2" s="44"/>
      <c r="J2" s="45"/>
      <c r="K2" s="45"/>
      <c r="L2" s="10"/>
      <c r="M2" s="10"/>
      <c r="N2" s="10"/>
      <c r="O2" s="10"/>
    </row>
    <row r="3" spans="1:15" ht="21.75" customHeight="1" x14ac:dyDescent="0.3">
      <c r="A3" s="11" t="s">
        <v>169</v>
      </c>
      <c r="B3" s="4" t="s">
        <v>23</v>
      </c>
      <c r="C3" s="43" t="s">
        <v>681</v>
      </c>
      <c r="D3" s="43"/>
      <c r="E3" s="43"/>
      <c r="F3" s="43"/>
      <c r="G3" s="43"/>
      <c r="H3" s="43"/>
      <c r="I3" s="44"/>
      <c r="J3" s="45" t="s">
        <v>226</v>
      </c>
      <c r="K3" s="45"/>
      <c r="L3" s="10"/>
      <c r="M3" s="10"/>
      <c r="N3" s="10"/>
      <c r="O3" s="10"/>
    </row>
    <row r="4" spans="1:15" ht="156.75" customHeight="1" x14ac:dyDescent="0.3">
      <c r="B4" s="4" t="s">
        <v>230</v>
      </c>
      <c r="C4" s="47" t="s">
        <v>682</v>
      </c>
      <c r="D4" s="43"/>
      <c r="E4" s="43"/>
      <c r="F4" s="43"/>
      <c r="G4" s="43"/>
      <c r="H4" s="43"/>
      <c r="I4" s="44"/>
      <c r="J4" s="45"/>
      <c r="K4" s="45"/>
      <c r="L4" s="10"/>
      <c r="M4" s="10"/>
      <c r="N4" s="10"/>
      <c r="O4" s="10"/>
    </row>
    <row r="5" spans="1:15" ht="21.75" customHeight="1" x14ac:dyDescent="0.3">
      <c r="A5" s="11" t="s">
        <v>188</v>
      </c>
      <c r="B5" s="4" t="s">
        <v>184</v>
      </c>
      <c r="C5" s="43" t="str">
        <f>VLOOKUP($C$2,통합!A2:J52,2,FALSE)</f>
        <v>20.정보통신</v>
      </c>
      <c r="D5" s="43"/>
      <c r="E5" s="43"/>
      <c r="F5" s="43"/>
      <c r="G5" s="43"/>
      <c r="H5" s="43"/>
      <c r="I5" s="44"/>
      <c r="J5" s="45"/>
      <c r="K5" s="45"/>
      <c r="L5" s="10"/>
      <c r="M5" s="10"/>
      <c r="N5" s="10"/>
      <c r="O5" s="10"/>
    </row>
    <row r="6" spans="1:15" ht="21.75" customHeight="1" x14ac:dyDescent="0.3">
      <c r="A6" s="11" t="s">
        <v>189</v>
      </c>
      <c r="B6" s="4" t="s">
        <v>185</v>
      </c>
      <c r="C6" s="43" t="str">
        <f>VLOOKUP($C$2,통합!A2:J52,3,FALSE)</f>
        <v>01.정보기술</v>
      </c>
      <c r="D6" s="43"/>
      <c r="E6" s="43"/>
      <c r="F6" s="43"/>
      <c r="G6" s="43"/>
      <c r="H6" s="43"/>
      <c r="I6" s="44"/>
      <c r="J6" s="45"/>
      <c r="K6" s="45"/>
      <c r="L6" s="10"/>
      <c r="M6" s="10"/>
      <c r="N6" s="10"/>
      <c r="O6" s="10"/>
    </row>
    <row r="7" spans="1:15" ht="21.75" customHeight="1" x14ac:dyDescent="0.3">
      <c r="A7" s="11" t="s">
        <v>190</v>
      </c>
      <c r="B7" s="4" t="s">
        <v>186</v>
      </c>
      <c r="C7" s="43" t="str">
        <f>VLOOKUP($C$2,통합!A2:J52,4,FALSE)</f>
        <v xml:space="preserve">07.인공지능 </v>
      </c>
      <c r="D7" s="43"/>
      <c r="E7" s="43"/>
      <c r="F7" s="43"/>
      <c r="G7" s="43"/>
      <c r="H7" s="43"/>
      <c r="I7" s="44"/>
      <c r="J7" s="45"/>
      <c r="K7" s="45"/>
      <c r="L7" s="10"/>
      <c r="M7" s="10"/>
      <c r="N7" s="10"/>
      <c r="O7" s="10"/>
    </row>
    <row r="8" spans="1:15" ht="21.75" customHeight="1" x14ac:dyDescent="0.3">
      <c r="A8" s="11" t="s">
        <v>191</v>
      </c>
      <c r="B8" s="4" t="s">
        <v>187</v>
      </c>
      <c r="C8" s="43" t="str">
        <f>VLOOKUP($C$2,통합!A2:J52,8,FALSE)&amp;"."&amp;VLOOKUP($C$2,통합!A2:J52,9,FALSE)</f>
        <v>05.프롬프트 구현</v>
      </c>
      <c r="D8" s="43"/>
      <c r="E8" s="43"/>
      <c r="F8" s="43"/>
      <c r="G8" s="43"/>
      <c r="H8" s="43"/>
      <c r="I8" s="44"/>
      <c r="J8" s="45"/>
      <c r="K8" s="45"/>
      <c r="L8" s="10"/>
      <c r="M8" s="10"/>
      <c r="N8" s="10"/>
      <c r="O8" s="10"/>
    </row>
    <row r="9" spans="1:15" ht="21.75" customHeight="1" x14ac:dyDescent="0.3">
      <c r="A9" s="11" t="s">
        <v>210</v>
      </c>
      <c r="B9" s="4" t="s">
        <v>176</v>
      </c>
      <c r="C9" s="43" t="str">
        <f>VLOOKUP($C$2,통합!A2:J52,7,FALSE)</f>
        <v>2001070705_25v1</v>
      </c>
      <c r="D9" s="43"/>
      <c r="E9" s="43"/>
      <c r="F9" s="43"/>
      <c r="G9" s="43"/>
      <c r="H9" s="43"/>
      <c r="I9" s="44"/>
      <c r="J9" s="45"/>
      <c r="K9" s="45"/>
      <c r="L9" s="10"/>
      <c r="M9" s="10"/>
      <c r="N9" s="10"/>
      <c r="O9" s="10"/>
    </row>
    <row r="10" spans="1:15" ht="21.75" customHeight="1" x14ac:dyDescent="0.3">
      <c r="A10" s="11" t="s">
        <v>208</v>
      </c>
      <c r="B10" s="4" t="s">
        <v>24</v>
      </c>
      <c r="C10" s="43">
        <f>VLOOKUP($C$2,통합!A2:J52,6,FALSE)</f>
        <v>5</v>
      </c>
      <c r="D10" s="43"/>
      <c r="E10" s="43"/>
      <c r="F10" s="43"/>
      <c r="G10" s="43"/>
      <c r="H10" s="43"/>
      <c r="I10" s="44"/>
      <c r="J10" s="45"/>
      <c r="K10" s="45"/>
      <c r="L10" s="10"/>
      <c r="M10" s="10"/>
      <c r="N10" s="10"/>
      <c r="O10" s="10"/>
    </row>
    <row r="11" spans="1:15" ht="21.75" customHeight="1" x14ac:dyDescent="0.3">
      <c r="A11" s="11" t="s">
        <v>174</v>
      </c>
      <c r="B11" s="4" t="s">
        <v>15</v>
      </c>
      <c r="C11" s="48" t="str">
        <f>F78&amp;"시간( "&amp;K131&amp;"일)"</f>
        <v>1시간( 3일)</v>
      </c>
      <c r="D11" s="48"/>
      <c r="E11" s="48"/>
      <c r="F11" s="48"/>
      <c r="G11" s="48"/>
      <c r="H11" s="48"/>
      <c r="I11" s="49"/>
      <c r="J11" s="18" t="s">
        <v>175</v>
      </c>
      <c r="K11" s="18"/>
      <c r="L11" s="10"/>
      <c r="M11" s="10"/>
      <c r="N11" s="10"/>
      <c r="O11" s="10"/>
    </row>
    <row r="12" spans="1:15" ht="28.5" customHeight="1" x14ac:dyDescent="0.3">
      <c r="A12" s="50" t="s">
        <v>232</v>
      </c>
      <c r="B12" s="50"/>
      <c r="C12" s="50"/>
      <c r="D12" s="50"/>
      <c r="E12" s="50"/>
      <c r="F12" s="50"/>
      <c r="G12" s="50"/>
      <c r="H12" s="50"/>
      <c r="I12" s="50"/>
      <c r="J12" s="50"/>
      <c r="K12" s="51"/>
      <c r="L12" s="10"/>
      <c r="M12" s="10"/>
      <c r="N12" s="10"/>
      <c r="O12" s="10"/>
    </row>
    <row r="13" spans="1:15" ht="21.75" customHeight="1" x14ac:dyDescent="0.3">
      <c r="A13" s="11" t="s">
        <v>172</v>
      </c>
      <c r="B13" s="4" t="s">
        <v>21</v>
      </c>
      <c r="C13" s="43" t="s">
        <v>622</v>
      </c>
      <c r="D13" s="43"/>
      <c r="E13" s="43"/>
      <c r="F13" s="43"/>
      <c r="G13" s="43"/>
      <c r="H13" s="43"/>
      <c r="I13" s="44"/>
      <c r="J13" s="45" t="s">
        <v>37</v>
      </c>
      <c r="K13" s="45"/>
      <c r="L13" s="10"/>
      <c r="M13" s="10"/>
      <c r="N13" s="10"/>
      <c r="O13" s="10"/>
    </row>
    <row r="14" spans="1:15" ht="21.75" customHeight="1" x14ac:dyDescent="0.3">
      <c r="A14" s="11" t="s">
        <v>222</v>
      </c>
      <c r="B14" s="4" t="s">
        <v>223</v>
      </c>
      <c r="C14" s="43" t="s">
        <v>623</v>
      </c>
      <c r="D14" s="43"/>
      <c r="E14" s="43"/>
      <c r="F14" s="43"/>
      <c r="G14" s="43"/>
      <c r="H14" s="43"/>
      <c r="I14" s="44"/>
      <c r="J14" s="45" t="s">
        <v>224</v>
      </c>
      <c r="K14" s="45"/>
      <c r="L14" s="10"/>
      <c r="M14" s="10"/>
      <c r="N14" s="10"/>
      <c r="O14" s="10"/>
    </row>
    <row r="15" spans="1:15" ht="21.75" customHeight="1" x14ac:dyDescent="0.3">
      <c r="A15" s="11" t="s">
        <v>182</v>
      </c>
      <c r="B15" s="4" t="s">
        <v>178</v>
      </c>
      <c r="C15" s="43" t="s">
        <v>535</v>
      </c>
      <c r="D15" s="43"/>
      <c r="E15" s="43"/>
      <c r="F15" s="43"/>
      <c r="G15" s="43"/>
      <c r="H15" s="43"/>
      <c r="I15" s="44"/>
      <c r="J15" s="45" t="s">
        <v>177</v>
      </c>
      <c r="K15" s="45"/>
      <c r="L15" s="10"/>
      <c r="M15" s="10"/>
      <c r="N15" s="10"/>
      <c r="O15" s="10"/>
    </row>
    <row r="16" spans="1:15" ht="21.75" customHeight="1" x14ac:dyDescent="0.3">
      <c r="A16" s="11" t="s">
        <v>181</v>
      </c>
      <c r="B16" s="4" t="s">
        <v>179</v>
      </c>
      <c r="C16" s="43" t="s">
        <v>683</v>
      </c>
      <c r="D16" s="43"/>
      <c r="E16" s="43"/>
      <c r="F16" s="43"/>
      <c r="G16" s="43"/>
      <c r="H16" s="43"/>
      <c r="I16" s="44"/>
      <c r="J16" s="45" t="s">
        <v>180</v>
      </c>
      <c r="K16" s="45"/>
      <c r="L16" s="10"/>
      <c r="M16" s="10"/>
      <c r="N16" s="10"/>
      <c r="O16" s="10"/>
    </row>
    <row r="17" spans="1:15" ht="48.75" customHeight="1" x14ac:dyDescent="0.3">
      <c r="A17" s="11" t="s">
        <v>171</v>
      </c>
      <c r="B17" s="4" t="s">
        <v>206</v>
      </c>
      <c r="C17" s="43" t="s">
        <v>684</v>
      </c>
      <c r="D17" s="43"/>
      <c r="E17" s="43"/>
      <c r="F17" s="43"/>
      <c r="G17" s="43"/>
      <c r="H17" s="43"/>
      <c r="I17" s="44"/>
      <c r="J17" s="45" t="s">
        <v>170</v>
      </c>
      <c r="K17" s="45"/>
      <c r="L17" s="10"/>
      <c r="M17" s="10"/>
      <c r="N17" s="10"/>
      <c r="O17" s="10"/>
    </row>
    <row r="18" spans="1:15" ht="48.75" customHeight="1" x14ac:dyDescent="0.3">
      <c r="A18" s="11" t="s">
        <v>183</v>
      </c>
      <c r="B18" s="4" t="s">
        <v>207</v>
      </c>
      <c r="C18" s="43" t="s">
        <v>624</v>
      </c>
      <c r="D18" s="43"/>
      <c r="E18" s="43"/>
      <c r="F18" s="43"/>
      <c r="G18" s="43"/>
      <c r="H18" s="43"/>
      <c r="I18" s="44"/>
      <c r="J18" s="45" t="s">
        <v>170</v>
      </c>
      <c r="K18" s="45"/>
      <c r="L18" s="10"/>
      <c r="M18" s="10"/>
      <c r="N18" s="10"/>
      <c r="O18" s="10"/>
    </row>
    <row r="19" spans="1:15" ht="44.25" customHeight="1" x14ac:dyDescent="0.3">
      <c r="A19" s="11" t="s">
        <v>209</v>
      </c>
      <c r="B19" s="4" t="s">
        <v>22</v>
      </c>
      <c r="C19" s="47" t="s">
        <v>685</v>
      </c>
      <c r="D19" s="43"/>
      <c r="E19" s="43"/>
      <c r="F19" s="43"/>
      <c r="G19" s="43"/>
      <c r="H19" s="43"/>
      <c r="I19" s="44"/>
      <c r="J19" s="45" t="s">
        <v>39</v>
      </c>
      <c r="K19" s="45"/>
      <c r="L19" s="10"/>
      <c r="M19" s="10"/>
      <c r="N19" s="10"/>
      <c r="O19" s="10"/>
    </row>
    <row r="20" spans="1:15" ht="28.5" customHeight="1" x14ac:dyDescent="0.3">
      <c r="A20" s="11" t="s">
        <v>212</v>
      </c>
      <c r="B20" s="4" t="s">
        <v>25</v>
      </c>
      <c r="C20" s="43" t="s">
        <v>686</v>
      </c>
      <c r="D20" s="43"/>
      <c r="E20" s="43"/>
      <c r="F20" s="43"/>
      <c r="G20" s="43"/>
      <c r="H20" s="43"/>
      <c r="I20" s="44"/>
      <c r="J20" s="45" t="s">
        <v>40</v>
      </c>
      <c r="K20" s="45"/>
      <c r="L20" s="10"/>
      <c r="M20" s="10"/>
      <c r="N20" s="10"/>
      <c r="O20" s="10"/>
    </row>
    <row r="21" spans="1:15" ht="78" customHeight="1" x14ac:dyDescent="0.3">
      <c r="A21" s="11" t="s">
        <v>213</v>
      </c>
      <c r="B21" s="4" t="s">
        <v>27</v>
      </c>
      <c r="C21" s="47" t="s">
        <v>687</v>
      </c>
      <c r="D21" s="43"/>
      <c r="E21" s="43"/>
      <c r="F21" s="43"/>
      <c r="G21" s="43"/>
      <c r="H21" s="43"/>
      <c r="I21" s="44"/>
      <c r="J21" s="45" t="s">
        <v>41</v>
      </c>
      <c r="K21" s="45"/>
      <c r="L21" s="10"/>
      <c r="M21" s="10"/>
      <c r="N21" s="10"/>
      <c r="O21" s="10"/>
    </row>
    <row r="22" spans="1:15" ht="62.25" customHeight="1" x14ac:dyDescent="0.3">
      <c r="A22" s="11" t="s">
        <v>214</v>
      </c>
      <c r="B22" s="52" t="s">
        <v>28</v>
      </c>
      <c r="C22" s="47" t="s">
        <v>688</v>
      </c>
      <c r="D22" s="43"/>
      <c r="E22" s="43"/>
      <c r="F22" s="43"/>
      <c r="G22" s="43"/>
      <c r="H22" s="43"/>
      <c r="I22" s="44"/>
      <c r="J22" s="45" t="s">
        <v>217</v>
      </c>
      <c r="K22" s="45"/>
      <c r="L22" s="10"/>
      <c r="M22" s="10"/>
      <c r="N22" s="10"/>
      <c r="O22" s="10"/>
    </row>
    <row r="23" spans="1:15" ht="62.25" customHeight="1" x14ac:dyDescent="0.3">
      <c r="A23" s="11" t="s">
        <v>215</v>
      </c>
      <c r="B23" s="52"/>
      <c r="C23" s="47" t="s">
        <v>689</v>
      </c>
      <c r="D23" s="43"/>
      <c r="E23" s="43"/>
      <c r="F23" s="43"/>
      <c r="G23" s="43"/>
      <c r="H23" s="43"/>
      <c r="I23" s="44"/>
      <c r="J23" s="45" t="s">
        <v>218</v>
      </c>
      <c r="K23" s="45"/>
      <c r="L23" s="10"/>
      <c r="M23" s="10"/>
      <c r="N23" s="10"/>
      <c r="O23" s="10"/>
    </row>
    <row r="24" spans="1:15" ht="62.25" customHeight="1" x14ac:dyDescent="0.3">
      <c r="A24" s="11" t="s">
        <v>216</v>
      </c>
      <c r="B24" s="52"/>
      <c r="C24" s="47" t="s">
        <v>690</v>
      </c>
      <c r="D24" s="43"/>
      <c r="E24" s="43"/>
      <c r="F24" s="43"/>
      <c r="G24" s="43"/>
      <c r="H24" s="43"/>
      <c r="I24" s="44"/>
      <c r="J24" s="45" t="s">
        <v>219</v>
      </c>
      <c r="K24" s="45"/>
      <c r="L24" s="10"/>
      <c r="M24" s="10"/>
      <c r="N24" s="10"/>
      <c r="O24" s="10"/>
    </row>
    <row r="25" spans="1:15" ht="83.25" customHeight="1" x14ac:dyDescent="0.3">
      <c r="A25" s="11" t="s">
        <v>220</v>
      </c>
      <c r="B25" s="6" t="s">
        <v>29</v>
      </c>
      <c r="C25" s="47" t="s">
        <v>712</v>
      </c>
      <c r="D25" s="43"/>
      <c r="E25" s="43"/>
      <c r="F25" s="43"/>
      <c r="G25" s="43"/>
      <c r="H25" s="43"/>
      <c r="I25" s="44"/>
      <c r="J25" s="45" t="s">
        <v>45</v>
      </c>
      <c r="K25" s="45"/>
      <c r="L25" s="10"/>
      <c r="M25" s="10"/>
      <c r="N25" s="10"/>
      <c r="O25" s="10"/>
    </row>
    <row r="26" spans="1:15" ht="47.25" customHeight="1" x14ac:dyDescent="0.3">
      <c r="A26" s="11" t="s">
        <v>225</v>
      </c>
      <c r="B26" s="6" t="s">
        <v>46</v>
      </c>
      <c r="C26" s="47" t="s">
        <v>713</v>
      </c>
      <c r="D26" s="43"/>
      <c r="E26" s="43"/>
      <c r="F26" s="43"/>
      <c r="G26" s="43"/>
      <c r="H26" s="43"/>
      <c r="I26" s="44"/>
      <c r="J26" s="45" t="s">
        <v>519</v>
      </c>
      <c r="K26" s="45"/>
      <c r="L26" s="10"/>
      <c r="M26" s="10"/>
      <c r="N26" s="10"/>
      <c r="O26" s="10"/>
    </row>
    <row r="27" spans="1:15" ht="29.25" customHeight="1" x14ac:dyDescent="0.3">
      <c r="A27" s="11" t="s">
        <v>221</v>
      </c>
      <c r="B27" s="4" t="s">
        <v>26</v>
      </c>
      <c r="C27" s="43" t="s">
        <v>48</v>
      </c>
      <c r="D27" s="43"/>
      <c r="E27" s="43"/>
      <c r="F27" s="43"/>
      <c r="G27" s="43"/>
      <c r="H27" s="43"/>
      <c r="I27" s="44"/>
      <c r="J27" s="45" t="s">
        <v>48</v>
      </c>
      <c r="K27" s="45"/>
      <c r="L27" s="10"/>
      <c r="M27" s="10"/>
      <c r="N27" s="10"/>
      <c r="O27" s="10"/>
    </row>
    <row r="28" spans="1:15" ht="218.25" customHeight="1" x14ac:dyDescent="0.3">
      <c r="A28" s="11" t="s">
        <v>739</v>
      </c>
      <c r="B28" s="41" t="s">
        <v>227</v>
      </c>
      <c r="C28" s="53" t="s">
        <v>625</v>
      </c>
      <c r="D28" s="54"/>
      <c r="E28" s="54"/>
      <c r="F28" s="54"/>
      <c r="G28" s="54"/>
      <c r="H28" s="54"/>
      <c r="I28" s="55"/>
      <c r="J28" s="45" t="s">
        <v>228</v>
      </c>
      <c r="K28" s="45"/>
      <c r="L28" s="10"/>
      <c r="M28" s="10"/>
      <c r="N28" s="10"/>
      <c r="O28" s="10"/>
    </row>
    <row r="29" spans="1:15" ht="218.25" customHeight="1" x14ac:dyDescent="0.3">
      <c r="A29" s="11" t="s">
        <v>740</v>
      </c>
      <c r="B29" s="77" t="s">
        <v>741</v>
      </c>
      <c r="C29" s="47"/>
      <c r="D29" s="43"/>
      <c r="E29" s="43"/>
      <c r="F29" s="43"/>
      <c r="G29" s="43"/>
      <c r="H29" s="43"/>
      <c r="I29" s="44"/>
      <c r="J29" s="45" t="s">
        <v>742</v>
      </c>
      <c r="K29" s="45"/>
      <c r="L29" s="10"/>
      <c r="M29" s="10"/>
      <c r="N29" s="10"/>
      <c r="O29" s="10"/>
    </row>
    <row r="30" spans="1:15" ht="218.25" customHeight="1" x14ac:dyDescent="0.3">
      <c r="A30" s="11" t="s">
        <v>743</v>
      </c>
      <c r="B30" s="77" t="s">
        <v>744</v>
      </c>
      <c r="C30" s="47"/>
      <c r="D30" s="43"/>
      <c r="E30" s="43"/>
      <c r="F30" s="43"/>
      <c r="G30" s="43"/>
      <c r="H30" s="43"/>
      <c r="I30" s="44"/>
      <c r="J30" s="45" t="s">
        <v>745</v>
      </c>
      <c r="K30" s="45"/>
      <c r="L30" s="10"/>
      <c r="M30" s="10"/>
      <c r="N30" s="10"/>
      <c r="O30" s="10"/>
    </row>
    <row r="31" spans="1:15" ht="29.25" customHeight="1" x14ac:dyDescent="0.3">
      <c r="A31" s="15" t="s">
        <v>495</v>
      </c>
      <c r="B31" s="33" t="s">
        <v>496</v>
      </c>
      <c r="C31" s="43" t="str">
        <f>F78&amp;"시간 (100%)"</f>
        <v>1시간 (100%)</v>
      </c>
      <c r="D31" s="43"/>
      <c r="E31" s="43"/>
      <c r="F31" s="43"/>
      <c r="G31" s="43"/>
      <c r="H31" s="43"/>
      <c r="I31" s="43"/>
      <c r="J31" s="40"/>
      <c r="K31" s="40"/>
      <c r="L31" s="10"/>
      <c r="M31" s="10"/>
      <c r="N31" s="10"/>
      <c r="O31" s="10"/>
    </row>
    <row r="32" spans="1:15" ht="22.5" customHeight="1" x14ac:dyDescent="0.3">
      <c r="A32" s="15" t="s">
        <v>499</v>
      </c>
      <c r="B32" s="33" t="s">
        <v>497</v>
      </c>
      <c r="C32" s="43">
        <f>COUNTA(G82:G90)</f>
        <v>1</v>
      </c>
      <c r="D32" s="43"/>
      <c r="E32" s="43"/>
      <c r="F32" s="43"/>
      <c r="G32" s="43"/>
      <c r="H32" s="43"/>
      <c r="I32" s="43"/>
      <c r="J32" s="56"/>
      <c r="K32" s="57"/>
    </row>
    <row r="33" spans="1:11" ht="22.5" customHeight="1" x14ac:dyDescent="0.3">
      <c r="A33" s="15" t="s">
        <v>500</v>
      </c>
      <c r="B33" s="33" t="s">
        <v>498</v>
      </c>
      <c r="C33" s="43">
        <f>COUNTA(G92:G100)</f>
        <v>0</v>
      </c>
      <c r="D33" s="43"/>
      <c r="E33" s="43"/>
      <c r="F33" s="43"/>
      <c r="G33" s="43"/>
      <c r="H33" s="43"/>
      <c r="I33" s="43"/>
      <c r="J33" s="56"/>
      <c r="K33" s="57"/>
    </row>
    <row r="34" spans="1:11" ht="22.5" customHeight="1" x14ac:dyDescent="0.3">
      <c r="A34" s="15" t="s">
        <v>504</v>
      </c>
      <c r="B34" s="33" t="s">
        <v>501</v>
      </c>
      <c r="C34" s="43">
        <f>COUNTA(G102:G110)</f>
        <v>0</v>
      </c>
      <c r="D34" s="43"/>
      <c r="E34" s="43"/>
      <c r="F34" s="43"/>
      <c r="G34" s="43"/>
      <c r="H34" s="43"/>
      <c r="I34" s="43"/>
      <c r="J34" s="56"/>
      <c r="K34" s="57"/>
    </row>
    <row r="35" spans="1:11" ht="22.5" customHeight="1" x14ac:dyDescent="0.3">
      <c r="A35" s="15" t="s">
        <v>505</v>
      </c>
      <c r="B35" s="33" t="s">
        <v>502</v>
      </c>
      <c r="C35" s="43">
        <f>COUNTA(G112:G120)</f>
        <v>0</v>
      </c>
      <c r="D35" s="43"/>
      <c r="E35" s="43"/>
      <c r="F35" s="43"/>
      <c r="G35" s="43"/>
      <c r="H35" s="43"/>
      <c r="I35" s="43"/>
      <c r="J35" s="56"/>
      <c r="K35" s="57"/>
    </row>
    <row r="36" spans="1:11" ht="22.5" customHeight="1" x14ac:dyDescent="0.3">
      <c r="A36" s="15" t="s">
        <v>506</v>
      </c>
      <c r="B36" s="33" t="s">
        <v>503</v>
      </c>
      <c r="C36" s="43">
        <f>COUNTA(G122:G130)</f>
        <v>0</v>
      </c>
      <c r="D36" s="43"/>
      <c r="E36" s="43"/>
      <c r="F36" s="43"/>
      <c r="G36" s="43"/>
      <c r="H36" s="43"/>
      <c r="I36" s="43"/>
      <c r="J36" s="56"/>
      <c r="K36" s="57"/>
    </row>
    <row r="37" spans="1:11" ht="69" customHeight="1" x14ac:dyDescent="0.3">
      <c r="A37" s="11" t="s">
        <v>507</v>
      </c>
      <c r="B37" s="33" t="s">
        <v>514</v>
      </c>
      <c r="C37" s="43" t="str">
        <f>K82</f>
        <v>IEC 62304·ISO 14971 기반 설계관리 전주기의 구조와 URS–SRS–TC–ECO–Traceability 간 관계를 이해하고, ChatGPT·Claude·Claude Cowork·Claude Code의 도구별 역할을 파악한다. 오후에는 Claude·ChatGPT로 자연어 요구사항을 구조화된 URS로 자동 변환하고 Claude Cowork으로 협업 검토하며, ChatGPT·Claude를 활용하여 SRS 초안을 자동 생성하고 문서 일관성·논리를 검증하는 실습을 진행한다.</v>
      </c>
      <c r="D37" s="43"/>
      <c r="E37" s="43"/>
      <c r="F37" s="43"/>
      <c r="G37" s="43"/>
      <c r="H37" s="43"/>
      <c r="I37" s="43"/>
      <c r="J37" s="56"/>
      <c r="K37" s="57"/>
    </row>
    <row r="38" spans="1:11" ht="69" customHeight="1" x14ac:dyDescent="0.3">
      <c r="A38" s="11" t="s">
        <v>508</v>
      </c>
      <c r="B38" s="33" t="s">
        <v>515</v>
      </c>
      <c r="C38" s="43" t="str">
        <f>K92</f>
        <v>ChatGPT로 SRS 기반 검증 가능한 TC를 자동 생성하고 Excel·Google AI Studio 연계로 표준 문서로 출력하는 실습을 진행한다. Claude Code로 설계 변경 시 영향 항목을 자동 식별하고, Claude Cowork·n8n으로 변경 알림 워크플로를 구축하는 실습을 수행한다. 실제 의료기기 설계 변경 시나리오에 AI를 적용하여 ECO 변경 영향 분석을 실습하고, TC 자동화와 ECO 식별 결과를 종합 검토한다.</v>
      </c>
      <c r="D38" s="43"/>
      <c r="E38" s="43"/>
      <c r="F38" s="43"/>
      <c r="G38" s="43"/>
      <c r="H38" s="43"/>
      <c r="I38" s="43"/>
      <c r="J38" s="56"/>
      <c r="K38" s="57"/>
    </row>
    <row r="39" spans="1:11" ht="69" customHeight="1" x14ac:dyDescent="0.3">
      <c r="A39" s="11" t="s">
        <v>509</v>
      </c>
      <c r="B39" s="33" t="s">
        <v>516</v>
      </c>
      <c r="C39" s="43" t="str">
        <f>K102</f>
        <v>Claude Code·ChatGPT로 요구–설계–검증–위험 간 Traceability 매트릭스를 AI로 자동 생성하고 Excel·Google AI Studio로 누락을 탐지하는 실습을 진행한다. ChatGPT·Claude Code·Claude Cowork·n8n을 연결하여 설계 입력부터 변경관리까지 통합된 AI 워크플로를 설계하고, 3일간의 산출물을 통합하여 팀별 발표와 피드백을 통해 현업 AX 적용 전략을 수립한다.</v>
      </c>
      <c r="D39" s="43"/>
      <c r="E39" s="43"/>
      <c r="F39" s="43"/>
      <c r="G39" s="43"/>
      <c r="H39" s="43"/>
      <c r="I39" s="43"/>
      <c r="J39" s="56"/>
      <c r="K39" s="57"/>
    </row>
    <row r="40" spans="1:11" ht="69" customHeight="1" x14ac:dyDescent="0.3">
      <c r="A40" s="11" t="s">
        <v>510</v>
      </c>
      <c r="B40" s="33" t="s">
        <v>517</v>
      </c>
      <c r="C40" s="43">
        <f>K112</f>
        <v>0</v>
      </c>
      <c r="D40" s="43"/>
      <c r="E40" s="43"/>
      <c r="F40" s="43"/>
      <c r="G40" s="43"/>
      <c r="H40" s="43"/>
      <c r="I40" s="43"/>
      <c r="J40" s="56"/>
      <c r="K40" s="57"/>
    </row>
    <row r="41" spans="1:11" ht="69" customHeight="1" x14ac:dyDescent="0.3">
      <c r="A41" s="11" t="s">
        <v>511</v>
      </c>
      <c r="B41" s="33" t="s">
        <v>518</v>
      </c>
      <c r="C41" s="43">
        <f>K122</f>
        <v>0</v>
      </c>
      <c r="D41" s="43"/>
      <c r="E41" s="43"/>
      <c r="F41" s="43"/>
      <c r="G41" s="43"/>
      <c r="H41" s="43"/>
      <c r="I41" s="43"/>
      <c r="J41" s="56"/>
      <c r="K41" s="57"/>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f>VLOOKUP(J46,통합!$A$2:$I$43,6,FALSE)</f>
        <v>4</v>
      </c>
      <c r="E46" s="31" t="str">
        <f>VLOOKUP(J46,통합!$A$2:$I$43,8,FALSE)</f>
        <v>01</v>
      </c>
      <c r="F46" s="8">
        <f>IF(COUNTIF($D$81:$D$130,D46)=0,"",COUNTIF($D$81:$D$130,D46))</f>
        <v>1</v>
      </c>
      <c r="G46" s="13" t="s">
        <v>50</v>
      </c>
      <c r="H46" s="13" t="s">
        <v>51</v>
      </c>
      <c r="I46" s="8">
        <f>IF(COUNTIF($G$81:$G$130,G46)=0,"",COUNTIF($G$81:$G$130,G46))</f>
        <v>1</v>
      </c>
      <c r="J46" s="11" t="s">
        <v>211</v>
      </c>
    </row>
    <row r="47" spans="1:11" ht="22.5" customHeight="1" x14ac:dyDescent="0.3">
      <c r="C47" s="9">
        <f t="shared" ref="C47:C77" si="0">IFERROR(G47,"")</f>
        <v>0</v>
      </c>
      <c r="D47" s="31"/>
      <c r="E47" s="31"/>
      <c r="F47" s="8" t="str">
        <f t="shared" ref="F47:F77" si="1">IF(COUNTIF($D$81:$D$130,D47)=0,"",COUNTIF($D$81:$D$130,D47))</f>
        <v/>
      </c>
      <c r="G47" s="13"/>
      <c r="H47" s="13"/>
      <c r="I47" s="8" t="str">
        <f t="shared" ref="I47:I77" si="2">IF(COUNTIF($G$81:$G$130,G47)=0,"",COUNTIF($G$81:$G$130,G47))</f>
        <v/>
      </c>
    </row>
    <row r="48" spans="1:11" ht="22.5" customHeight="1" x14ac:dyDescent="0.3">
      <c r="C48" s="9">
        <f t="shared" si="0"/>
        <v>0</v>
      </c>
      <c r="D48" s="31"/>
      <c r="E48" s="31"/>
      <c r="F48" s="8" t="str">
        <f t="shared" si="1"/>
        <v/>
      </c>
      <c r="G48" s="14"/>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 t="shared" si="2"/>
        <v/>
      </c>
    </row>
    <row r="65" spans="3:9" ht="22.5" customHeight="1" x14ac:dyDescent="0.3">
      <c r="C65" s="9">
        <f t="shared" si="0"/>
        <v>0</v>
      </c>
      <c r="D65" s="31"/>
      <c r="E65" s="31"/>
      <c r="F65" s="8" t="str">
        <f t="shared" si="1"/>
        <v/>
      </c>
      <c r="G65" s="13"/>
      <c r="H65" s="13"/>
      <c r="I65" s="8" t="str">
        <f t="shared" si="2"/>
        <v/>
      </c>
    </row>
    <row r="66" spans="3:9" ht="22.5" customHeight="1" x14ac:dyDescent="0.3">
      <c r="C66" s="9">
        <f t="shared" si="0"/>
        <v>0</v>
      </c>
      <c r="D66" s="31"/>
      <c r="E66" s="31"/>
      <c r="F66" s="8" t="str">
        <f t="shared" si="1"/>
        <v/>
      </c>
      <c r="G66" s="13"/>
      <c r="H66" s="13"/>
      <c r="I66" s="8" t="str">
        <f>IF(COUNTIF($G$81:$G$130,#REF!)=0,"",COUNTIF($G$81:$G$130,#REF!))</f>
        <v/>
      </c>
    </row>
    <row r="67" spans="3:9" ht="22.5" customHeight="1" x14ac:dyDescent="0.3">
      <c r="C67" s="9">
        <f t="shared" si="0"/>
        <v>0</v>
      </c>
      <c r="D67" s="31"/>
      <c r="E67" s="31"/>
      <c r="F67" s="8" t="str">
        <f t="shared" si="1"/>
        <v/>
      </c>
      <c r="H67" s="13"/>
      <c r="I67" s="8" t="str">
        <f>IF(COUNTIF($G$81:$G$130,G66)=0,"",COUNTIF($G$81:$G$130,G66))</f>
        <v/>
      </c>
    </row>
    <row r="68" spans="3:9" ht="22.5" customHeight="1" x14ac:dyDescent="0.3">
      <c r="C68" s="9">
        <f t="shared" si="0"/>
        <v>0</v>
      </c>
      <c r="D68" s="31"/>
      <c r="E68" s="31"/>
      <c r="F68" s="8" t="str">
        <f t="shared" si="1"/>
        <v/>
      </c>
      <c r="G68" s="13"/>
      <c r="H68" s="13"/>
      <c r="I68" s="8" t="str">
        <f t="shared" si="2"/>
        <v/>
      </c>
    </row>
    <row r="69" spans="3:9" ht="22.5" customHeight="1" x14ac:dyDescent="0.3">
      <c r="C69" s="9">
        <f t="shared" si="0"/>
        <v>0</v>
      </c>
      <c r="D69" s="31"/>
      <c r="E69" s="31"/>
      <c r="F69" s="8" t="str">
        <f t="shared" si="1"/>
        <v/>
      </c>
      <c r="G69" s="13"/>
      <c r="H69" s="13"/>
      <c r="I69" s="8" t="str">
        <f t="shared" si="2"/>
        <v/>
      </c>
    </row>
    <row r="70" spans="3:9" ht="22.5" customHeight="1" x14ac:dyDescent="0.3">
      <c r="C70" s="9">
        <f t="shared" si="0"/>
        <v>0</v>
      </c>
      <c r="D70" s="31"/>
      <c r="E70" s="31"/>
      <c r="F70" s="8" t="str">
        <f t="shared" si="1"/>
        <v/>
      </c>
      <c r="G70" s="13"/>
      <c r="H70" s="13"/>
      <c r="I70" s="8" t="str">
        <f t="shared" si="2"/>
        <v/>
      </c>
    </row>
    <row r="71" spans="3:9" ht="22.5" customHeight="1" x14ac:dyDescent="0.3">
      <c r="C71" s="9">
        <f t="shared" si="0"/>
        <v>0</v>
      </c>
      <c r="D71" s="31"/>
      <c r="E71" s="31"/>
      <c r="F71" s="8" t="str">
        <f t="shared" si="1"/>
        <v/>
      </c>
      <c r="G71" s="13"/>
      <c r="H71" s="13"/>
      <c r="I71" s="8" t="str">
        <f t="shared" si="2"/>
        <v/>
      </c>
    </row>
    <row r="72" spans="3:9" ht="22.5" customHeight="1" x14ac:dyDescent="0.3">
      <c r="C72" s="9">
        <f t="shared" si="0"/>
        <v>0</v>
      </c>
      <c r="D72" s="31"/>
      <c r="E72" s="31"/>
      <c r="F72" s="8" t="str">
        <f t="shared" si="1"/>
        <v/>
      </c>
      <c r="G72" s="13"/>
      <c r="H72" s="13"/>
      <c r="I72" s="8" t="str">
        <f t="shared" si="2"/>
        <v/>
      </c>
    </row>
    <row r="73" spans="3:9" ht="22.5" customHeight="1" x14ac:dyDescent="0.3">
      <c r="C73" s="9">
        <f t="shared" si="0"/>
        <v>0</v>
      </c>
      <c r="D73" s="31"/>
      <c r="E73" s="31"/>
      <c r="F73" s="8" t="str">
        <f t="shared" si="1"/>
        <v/>
      </c>
      <c r="G73" s="13"/>
      <c r="H73" s="13"/>
      <c r="I73" s="8" t="str">
        <f t="shared" si="2"/>
        <v/>
      </c>
    </row>
    <row r="74" spans="3:9" ht="22.5" customHeight="1" x14ac:dyDescent="0.3">
      <c r="C74" s="9">
        <f t="shared" si="0"/>
        <v>0</v>
      </c>
      <c r="D74" s="31"/>
      <c r="E74" s="31"/>
      <c r="F74" s="8" t="str">
        <f t="shared" si="1"/>
        <v/>
      </c>
      <c r="G74" s="13"/>
      <c r="H74" s="13"/>
      <c r="I74" s="8" t="str">
        <f t="shared" si="2"/>
        <v/>
      </c>
    </row>
    <row r="75" spans="3:9" ht="22.5" customHeight="1" x14ac:dyDescent="0.3">
      <c r="C75" s="9">
        <f t="shared" si="0"/>
        <v>0</v>
      </c>
      <c r="D75" s="31"/>
      <c r="E75" s="31"/>
      <c r="F75" s="8" t="str">
        <f t="shared" si="1"/>
        <v/>
      </c>
      <c r="G75" s="13"/>
      <c r="H75" s="13"/>
      <c r="I75" s="8" t="str">
        <f t="shared" si="2"/>
        <v/>
      </c>
    </row>
    <row r="76" spans="3:9" ht="22.5" customHeight="1" x14ac:dyDescent="0.3">
      <c r="C76" s="9">
        <f t="shared" si="0"/>
        <v>0</v>
      </c>
      <c r="D76" s="31"/>
      <c r="E76" s="31"/>
      <c r="F76" s="8" t="str">
        <f t="shared" si="1"/>
        <v/>
      </c>
      <c r="G76" s="13"/>
      <c r="H76" s="13"/>
      <c r="I76" s="8" t="str">
        <f t="shared" si="2"/>
        <v/>
      </c>
    </row>
    <row r="77" spans="3:9" ht="22.5" customHeight="1" x14ac:dyDescent="0.3">
      <c r="C77" s="9">
        <f t="shared" si="0"/>
        <v>0</v>
      </c>
      <c r="D77" s="32"/>
      <c r="E77" s="32"/>
      <c r="F77" s="29" t="str">
        <f t="shared" si="1"/>
        <v/>
      </c>
      <c r="G77" s="28"/>
      <c r="H77" s="28"/>
      <c r="I77" s="29" t="str">
        <f t="shared" si="2"/>
        <v/>
      </c>
    </row>
    <row r="78" spans="3:9" ht="22.5" customHeight="1" x14ac:dyDescent="0.3">
      <c r="C78" s="8" t="s">
        <v>173</v>
      </c>
      <c r="D78" s="13"/>
      <c r="E78" s="13"/>
      <c r="F78" s="30">
        <f>SUM(F46:F77)</f>
        <v>1</v>
      </c>
      <c r="G78" s="13"/>
      <c r="H78" s="13"/>
      <c r="I78" s="30">
        <f>SUM(I46:I77)</f>
        <v>1</v>
      </c>
    </row>
    <row r="79" spans="3:9" ht="22.5" customHeight="1" x14ac:dyDescent="0.3">
      <c r="C79" s="8"/>
      <c r="D79" s="13"/>
      <c r="E79" s="13"/>
      <c r="F79" s="8"/>
      <c r="G79" s="13"/>
      <c r="H79" s="13"/>
      <c r="I79" s="8"/>
    </row>
    <row r="80" spans="3:9" ht="22.5" customHeight="1" x14ac:dyDescent="0.3"/>
    <row r="81" spans="2:11" ht="22.5" customHeight="1" x14ac:dyDescent="0.3">
      <c r="B81" s="58" t="s">
        <v>9</v>
      </c>
      <c r="C81" s="5" t="s">
        <v>8</v>
      </c>
      <c r="D81" s="5" t="s">
        <v>10</v>
      </c>
      <c r="E81" s="61" t="s">
        <v>13</v>
      </c>
      <c r="F81" s="62"/>
      <c r="G81" s="12" t="s">
        <v>11</v>
      </c>
      <c r="H81" s="61" t="s">
        <v>12</v>
      </c>
      <c r="I81" s="62"/>
      <c r="J81" s="12" t="s">
        <v>14</v>
      </c>
      <c r="K81" s="12" t="s">
        <v>31</v>
      </c>
    </row>
    <row r="82" spans="2:11" ht="22.5" customHeight="1" x14ac:dyDescent="0.3">
      <c r="B82" s="59"/>
      <c r="C82" s="1" t="s">
        <v>0</v>
      </c>
      <c r="D82" s="8">
        <f>IF(VLOOKUP(G82,$C$46:$E$77,2,FALSE)="","",VLOOKUP(G82,$C$46:$E$77,2,FALSE))</f>
        <v>4</v>
      </c>
      <c r="E82" s="63" t="str">
        <f>IF(VLOOKUP(G82,$C$46:$E$77,3,FALSE)="","",VLOOKUP(G82,$C$46:$E$77,3,FALSE))</f>
        <v>01</v>
      </c>
      <c r="F82" s="64"/>
      <c r="G82" s="13" t="s">
        <v>50</v>
      </c>
      <c r="H82" s="63" t="str">
        <f>IFERROR(VLOOKUP(G82,$G$46:$H$77,2,FALSE),"")</f>
        <v>하드웨어 분석하기</v>
      </c>
      <c r="I82" s="64"/>
      <c r="J82" s="15" t="s">
        <v>691</v>
      </c>
      <c r="K82" s="53" t="s">
        <v>709</v>
      </c>
    </row>
    <row r="83" spans="2:11" ht="22.5" customHeight="1" x14ac:dyDescent="0.3">
      <c r="B83" s="59"/>
      <c r="C83" s="1" t="s">
        <v>1</v>
      </c>
      <c r="D83" s="8" t="str">
        <f t="shared" ref="D83:D84" si="3">IF(VLOOKUP(G83,$C$46:$E$77,2,FALSE)="","",VLOOKUP(G83,$C$46:$E$77,2,FALSE))</f>
        <v/>
      </c>
      <c r="E83" s="63" t="str">
        <f t="shared" ref="E83:E84" si="4">IF(VLOOKUP(G83,$C$46:$E$77,3,FALSE)="","",VLOOKUP(G83,$C$46:$E$77,3,FALSE))</f>
        <v/>
      </c>
      <c r="F83" s="64"/>
      <c r="G83" s="13"/>
      <c r="H83" s="63" t="str">
        <f t="shared" ref="H83:H90" si="5">IFERROR(VLOOKUP(G83,$G$46:$H$77,2,FALSE),"")</f>
        <v/>
      </c>
      <c r="I83" s="64"/>
      <c r="J83" s="15" t="s">
        <v>692</v>
      </c>
      <c r="K83" s="65"/>
    </row>
    <row r="84" spans="2:11" ht="22.5" customHeight="1" x14ac:dyDescent="0.3">
      <c r="B84" s="59"/>
      <c r="C84" s="1" t="s">
        <v>2</v>
      </c>
      <c r="D84" s="8" t="str">
        <f t="shared" si="3"/>
        <v/>
      </c>
      <c r="E84" s="63" t="str">
        <f t="shared" si="4"/>
        <v/>
      </c>
      <c r="F84" s="64"/>
      <c r="G84" s="13"/>
      <c r="H84" s="63" t="str">
        <f t="shared" si="5"/>
        <v/>
      </c>
      <c r="I84" s="64"/>
      <c r="J84" s="15" t="s">
        <v>693</v>
      </c>
      <c r="K84" s="65"/>
    </row>
    <row r="85" spans="2:11" ht="22.5" customHeight="1" x14ac:dyDescent="0.3">
      <c r="B85" s="59"/>
      <c r="C85" s="2" t="s">
        <v>18</v>
      </c>
      <c r="D85" s="7"/>
      <c r="E85" s="67"/>
      <c r="F85" s="68"/>
      <c r="G85" s="17"/>
      <c r="H85" s="67"/>
      <c r="I85" s="68"/>
      <c r="J85" s="16"/>
      <c r="K85" s="65"/>
    </row>
    <row r="86" spans="2:11" ht="22.5" customHeight="1" x14ac:dyDescent="0.3">
      <c r="B86" s="59"/>
      <c r="C86" s="1" t="s">
        <v>3</v>
      </c>
      <c r="D86" s="8" t="str">
        <f>IF(VLOOKUP(G86,$C$46:$E$77,2,FALSE)="","",VLOOKUP(G86,$C$46:$E$77,2,FALSE))</f>
        <v/>
      </c>
      <c r="E86" s="63" t="str">
        <f>IF(VLOOKUP(G86,$C$46:$E$77,3,FALSE)="","",VLOOKUP(G86,$C$46:$E$77,3,FALSE))</f>
        <v/>
      </c>
      <c r="F86" s="64"/>
      <c r="G86" s="13"/>
      <c r="H86" s="63" t="str">
        <f t="shared" si="5"/>
        <v/>
      </c>
      <c r="I86" s="64"/>
      <c r="J86" s="15" t="s">
        <v>694</v>
      </c>
      <c r="K86" s="65"/>
    </row>
    <row r="87" spans="2:11" ht="22.5" customHeight="1" x14ac:dyDescent="0.3">
      <c r="B87" s="59"/>
      <c r="C87" s="1" t="s">
        <v>4</v>
      </c>
      <c r="D87" s="8" t="str">
        <f t="shared" ref="D87:D90" si="6">IF(VLOOKUP(G87,$C$46:$E$77,2,FALSE)="","",VLOOKUP(G87,$C$46:$E$77,2,FALSE))</f>
        <v/>
      </c>
      <c r="E87" s="63" t="str">
        <f t="shared" ref="E87:E90" si="7">IF(VLOOKUP(G87,$C$46:$E$77,3,FALSE)="","",VLOOKUP(G87,$C$46:$E$77,3,FALSE))</f>
        <v/>
      </c>
      <c r="F87" s="64"/>
      <c r="G87" s="13"/>
      <c r="H87" s="63" t="str">
        <f t="shared" si="5"/>
        <v/>
      </c>
      <c r="I87" s="64"/>
      <c r="J87" s="15" t="s">
        <v>695</v>
      </c>
      <c r="K87" s="65"/>
    </row>
    <row r="88" spans="2:11" ht="22.5" customHeight="1" x14ac:dyDescent="0.3">
      <c r="B88" s="59"/>
      <c r="C88" s="1" t="s">
        <v>5</v>
      </c>
      <c r="D88" s="8" t="str">
        <f t="shared" si="6"/>
        <v/>
      </c>
      <c r="E88" s="63" t="str">
        <f t="shared" si="7"/>
        <v/>
      </c>
      <c r="F88" s="64"/>
      <c r="G88" s="13"/>
      <c r="H88" s="63" t="str">
        <f t="shared" si="5"/>
        <v/>
      </c>
      <c r="I88" s="64"/>
      <c r="J88" s="15" t="s">
        <v>696</v>
      </c>
      <c r="K88" s="65"/>
    </row>
    <row r="89" spans="2:11" ht="22.5" customHeight="1" x14ac:dyDescent="0.3">
      <c r="B89" s="59"/>
      <c r="C89" s="1" t="s">
        <v>6</v>
      </c>
      <c r="D89" s="8" t="str">
        <f t="shared" si="6"/>
        <v/>
      </c>
      <c r="E89" s="63" t="str">
        <f t="shared" si="7"/>
        <v/>
      </c>
      <c r="F89" s="64"/>
      <c r="G89" s="13"/>
      <c r="H89" s="63" t="str">
        <f t="shared" si="5"/>
        <v/>
      </c>
      <c r="I89" s="64"/>
      <c r="J89" s="15"/>
      <c r="K89" s="65"/>
    </row>
    <row r="90" spans="2:11" ht="22.5" customHeight="1" x14ac:dyDescent="0.3">
      <c r="B90" s="60"/>
      <c r="C90" s="1" t="s">
        <v>7</v>
      </c>
      <c r="D90" s="8" t="str">
        <f t="shared" si="6"/>
        <v/>
      </c>
      <c r="E90" s="63" t="str">
        <f t="shared" si="7"/>
        <v/>
      </c>
      <c r="F90" s="64"/>
      <c r="G90" s="13"/>
      <c r="H90" s="63" t="str">
        <f t="shared" si="5"/>
        <v/>
      </c>
      <c r="I90" s="64"/>
      <c r="J90" s="15"/>
      <c r="K90" s="66"/>
    </row>
    <row r="91" spans="2:11" ht="22.5" customHeight="1" x14ac:dyDescent="0.3">
      <c r="B91" s="58" t="s">
        <v>16</v>
      </c>
      <c r="C91" s="5" t="s">
        <v>8</v>
      </c>
      <c r="D91" s="5" t="s">
        <v>10</v>
      </c>
      <c r="E91" s="61" t="s">
        <v>13</v>
      </c>
      <c r="F91" s="62"/>
      <c r="G91" s="12" t="s">
        <v>11</v>
      </c>
      <c r="H91" s="61" t="s">
        <v>12</v>
      </c>
      <c r="I91" s="62"/>
      <c r="J91" s="12" t="s">
        <v>14</v>
      </c>
      <c r="K91" s="12" t="s">
        <v>32</v>
      </c>
    </row>
    <row r="92" spans="2:11" ht="22.5" customHeight="1" x14ac:dyDescent="0.3">
      <c r="B92" s="59"/>
      <c r="C92" s="1" t="s">
        <v>0</v>
      </c>
      <c r="D92" s="8" t="str">
        <f>IF(VLOOKUP(G92,$C$46:$E$77,2,FALSE)="","",VLOOKUP(G92,$C$46:$E$77,2,FALSE))</f>
        <v/>
      </c>
      <c r="E92" s="63" t="str">
        <f>IF(VLOOKUP(G92,$C$46:$E$77,3,FALSE)="","",VLOOKUP(G92,$C$46:$E$77,3,FALSE))</f>
        <v/>
      </c>
      <c r="F92" s="64"/>
      <c r="G92" s="13"/>
      <c r="H92" s="63" t="str">
        <f>IFERROR(VLOOKUP(G92,$G$46:$H$77,2,FALSE),"")</f>
        <v/>
      </c>
      <c r="I92" s="64"/>
      <c r="J92" s="15" t="s">
        <v>697</v>
      </c>
      <c r="K92" s="54" t="s">
        <v>710</v>
      </c>
    </row>
    <row r="93" spans="2:11" ht="22.5" customHeight="1" x14ac:dyDescent="0.3">
      <c r="B93" s="59"/>
      <c r="C93" s="1" t="s">
        <v>1</v>
      </c>
      <c r="D93" s="8" t="str">
        <f t="shared" ref="D93:D94" si="8">IF(VLOOKUP(G93,$C$46:$E$77,2,FALSE)="","",VLOOKUP(G93,$C$46:$E$77,2,FALSE))</f>
        <v/>
      </c>
      <c r="E93" s="63" t="str">
        <f t="shared" ref="E93:E94" si="9">IF(VLOOKUP(G93,$C$46:$E$77,3,FALSE)="","",VLOOKUP(G93,$C$46:$E$77,3,FALSE))</f>
        <v/>
      </c>
      <c r="F93" s="64"/>
      <c r="G93" s="13"/>
      <c r="H93" s="63" t="str">
        <f t="shared" ref="H93:H100" si="10">IFERROR(VLOOKUP(G93,$G$46:$H$77,2,FALSE),"")</f>
        <v/>
      </c>
      <c r="I93" s="64"/>
      <c r="J93" s="15" t="s">
        <v>698</v>
      </c>
      <c r="K93" s="65"/>
    </row>
    <row r="94" spans="2:11" ht="22.5" customHeight="1" x14ac:dyDescent="0.3">
      <c r="B94" s="59"/>
      <c r="C94" s="1" t="s">
        <v>2</v>
      </c>
      <c r="D94" s="8" t="str">
        <f t="shared" si="8"/>
        <v/>
      </c>
      <c r="E94" s="63" t="str">
        <f t="shared" si="9"/>
        <v/>
      </c>
      <c r="F94" s="64"/>
      <c r="G94" s="13"/>
      <c r="H94" s="63" t="str">
        <f t="shared" si="10"/>
        <v/>
      </c>
      <c r="I94" s="64"/>
      <c r="J94" s="15" t="s">
        <v>699</v>
      </c>
      <c r="K94" s="65"/>
    </row>
    <row r="95" spans="2:11" ht="22.5" customHeight="1" x14ac:dyDescent="0.3">
      <c r="B95" s="59"/>
      <c r="C95" s="2" t="s">
        <v>18</v>
      </c>
      <c r="D95" s="7"/>
      <c r="E95" s="67"/>
      <c r="F95" s="68"/>
      <c r="G95" s="17"/>
      <c r="H95" s="67"/>
      <c r="I95" s="68"/>
      <c r="J95" s="16"/>
      <c r="K95" s="65"/>
    </row>
    <row r="96" spans="2:11" ht="22.5" customHeight="1" x14ac:dyDescent="0.3">
      <c r="B96" s="59"/>
      <c r="C96" s="1" t="s">
        <v>3</v>
      </c>
      <c r="D96" s="8" t="str">
        <f>IF(VLOOKUP(G96,$C$46:$E$77,2,FALSE)="","",VLOOKUP(G96,$C$46:$E$77,2,FALSE))</f>
        <v/>
      </c>
      <c r="E96" s="63" t="str">
        <f>IF(VLOOKUP(G96,$C$46:$E$77,3,FALSE)="","",VLOOKUP(G96,$C$46:$E$77,3,FALSE))</f>
        <v/>
      </c>
      <c r="F96" s="64"/>
      <c r="G96" s="13"/>
      <c r="H96" s="63" t="str">
        <f t="shared" si="10"/>
        <v/>
      </c>
      <c r="I96" s="64"/>
      <c r="J96" s="15" t="s">
        <v>700</v>
      </c>
      <c r="K96" s="65"/>
    </row>
    <row r="97" spans="2:11" ht="22.5" customHeight="1" x14ac:dyDescent="0.3">
      <c r="B97" s="59"/>
      <c r="C97" s="1" t="s">
        <v>4</v>
      </c>
      <c r="D97" s="8" t="str">
        <f t="shared" ref="D97:D100" si="11">IF(VLOOKUP(G97,$C$46:$E$77,2,FALSE)="","",VLOOKUP(G97,$C$46:$E$77,2,FALSE))</f>
        <v/>
      </c>
      <c r="E97" s="63" t="str">
        <f t="shared" ref="E97:E100" si="12">IF(VLOOKUP(G97,$C$46:$E$77,3,FALSE)="","",VLOOKUP(G97,$C$46:$E$77,3,FALSE))</f>
        <v/>
      </c>
      <c r="F97" s="64"/>
      <c r="G97" s="13"/>
      <c r="H97" s="63" t="str">
        <f t="shared" si="10"/>
        <v/>
      </c>
      <c r="I97" s="64"/>
      <c r="J97" s="15" t="s">
        <v>701</v>
      </c>
      <c r="K97" s="65"/>
    </row>
    <row r="98" spans="2:11" ht="22.5" customHeight="1" x14ac:dyDescent="0.3">
      <c r="B98" s="59"/>
      <c r="C98" s="1" t="s">
        <v>5</v>
      </c>
      <c r="D98" s="8" t="str">
        <f t="shared" si="11"/>
        <v/>
      </c>
      <c r="E98" s="63" t="str">
        <f t="shared" si="12"/>
        <v/>
      </c>
      <c r="F98" s="64"/>
      <c r="G98" s="13"/>
      <c r="H98" s="63" t="str">
        <f t="shared" si="10"/>
        <v/>
      </c>
      <c r="I98" s="64"/>
      <c r="J98" s="15" t="s">
        <v>702</v>
      </c>
      <c r="K98" s="65"/>
    </row>
    <row r="99" spans="2:11" ht="22.5" customHeight="1" x14ac:dyDescent="0.3">
      <c r="B99" s="59"/>
      <c r="C99" s="1" t="s">
        <v>6</v>
      </c>
      <c r="D99" s="8" t="str">
        <f t="shared" si="11"/>
        <v/>
      </c>
      <c r="E99" s="63" t="str">
        <f t="shared" si="12"/>
        <v/>
      </c>
      <c r="F99" s="64"/>
      <c r="G99" s="13"/>
      <c r="H99" s="63" t="str">
        <f t="shared" si="10"/>
        <v/>
      </c>
      <c r="I99" s="64"/>
      <c r="J99" s="15"/>
      <c r="K99" s="65"/>
    </row>
    <row r="100" spans="2:11" ht="22.5" customHeight="1" x14ac:dyDescent="0.3">
      <c r="B100" s="60"/>
      <c r="C100" s="1" t="s">
        <v>7</v>
      </c>
      <c r="D100" s="8" t="str">
        <f t="shared" si="11"/>
        <v/>
      </c>
      <c r="E100" s="63" t="str">
        <f t="shared" si="12"/>
        <v/>
      </c>
      <c r="F100" s="64"/>
      <c r="G100" s="13"/>
      <c r="H100" s="63" t="str">
        <f t="shared" si="10"/>
        <v/>
      </c>
      <c r="I100" s="64"/>
      <c r="J100" s="15"/>
      <c r="K100" s="66"/>
    </row>
    <row r="101" spans="2:11" ht="22.5" customHeight="1" x14ac:dyDescent="0.3">
      <c r="B101" s="58" t="s">
        <v>17</v>
      </c>
      <c r="C101" s="5" t="s">
        <v>8</v>
      </c>
      <c r="D101" s="5" t="s">
        <v>10</v>
      </c>
      <c r="E101" s="61" t="s">
        <v>13</v>
      </c>
      <c r="F101" s="62"/>
      <c r="G101" s="12" t="s">
        <v>11</v>
      </c>
      <c r="H101" s="61" t="s">
        <v>12</v>
      </c>
      <c r="I101" s="62"/>
      <c r="J101" s="12" t="s">
        <v>14</v>
      </c>
      <c r="K101" s="12" t="s">
        <v>33</v>
      </c>
    </row>
    <row r="102" spans="2:11" ht="22.5" customHeight="1" x14ac:dyDescent="0.3">
      <c r="B102" s="59"/>
      <c r="C102" s="1" t="s">
        <v>0</v>
      </c>
      <c r="D102" s="8" t="str">
        <f>IF(VLOOKUP(G102,$C$46:$E$77,2,FALSE)="","",VLOOKUP(G102,$C$46:$E$77,2,FALSE))</f>
        <v/>
      </c>
      <c r="E102" s="63" t="str">
        <f>IF(VLOOKUP(G102,$C$46:$E$77,3,FALSE)="","",VLOOKUP(G102,$C$46:$E$77,3,FALSE))</f>
        <v/>
      </c>
      <c r="F102" s="64"/>
      <c r="G102" s="13"/>
      <c r="H102" s="63" t="str">
        <f>IFERROR(VLOOKUP(G102,$G$46:$H$77,2,FALSE),"")</f>
        <v/>
      </c>
      <c r="I102" s="64"/>
      <c r="J102" s="15" t="s">
        <v>703</v>
      </c>
      <c r="K102" s="54" t="s">
        <v>711</v>
      </c>
    </row>
    <row r="103" spans="2:11" ht="22.5" customHeight="1" x14ac:dyDescent="0.3">
      <c r="B103" s="59"/>
      <c r="C103" s="1" t="s">
        <v>1</v>
      </c>
      <c r="D103" s="8" t="str">
        <f t="shared" ref="D103:D104" si="13">IF(VLOOKUP(G103,$C$46:$E$77,2,FALSE)="","",VLOOKUP(G103,$C$46:$E$77,2,FALSE))</f>
        <v/>
      </c>
      <c r="E103" s="63" t="str">
        <f t="shared" ref="E103:E104" si="14">IF(VLOOKUP(G103,$C$46:$E$77,3,FALSE)="","",VLOOKUP(G103,$C$46:$E$77,3,FALSE))</f>
        <v/>
      </c>
      <c r="F103" s="64"/>
      <c r="G103" s="13"/>
      <c r="H103" s="63" t="str">
        <f t="shared" ref="H103:H110" si="15">IFERROR(VLOOKUP(G103,$G$46:$H$77,2,FALSE),"")</f>
        <v/>
      </c>
      <c r="I103" s="64"/>
      <c r="J103" s="15" t="s">
        <v>704</v>
      </c>
      <c r="K103" s="65"/>
    </row>
    <row r="104" spans="2:11" ht="22.5" customHeight="1" x14ac:dyDescent="0.3">
      <c r="B104" s="59"/>
      <c r="C104" s="1" t="s">
        <v>2</v>
      </c>
      <c r="D104" s="8" t="str">
        <f t="shared" si="13"/>
        <v/>
      </c>
      <c r="E104" s="63" t="str">
        <f t="shared" si="14"/>
        <v/>
      </c>
      <c r="F104" s="64"/>
      <c r="G104" s="13"/>
      <c r="H104" s="63" t="str">
        <f t="shared" si="15"/>
        <v/>
      </c>
      <c r="I104" s="64"/>
      <c r="J104" s="15" t="s">
        <v>705</v>
      </c>
      <c r="K104" s="65"/>
    </row>
    <row r="105" spans="2:11" ht="22.5" customHeight="1" x14ac:dyDescent="0.3">
      <c r="B105" s="59"/>
      <c r="C105" s="2" t="s">
        <v>18</v>
      </c>
      <c r="D105" s="7"/>
      <c r="E105" s="67"/>
      <c r="F105" s="68"/>
      <c r="G105" s="17"/>
      <c r="H105" s="67"/>
      <c r="I105" s="68"/>
      <c r="J105" s="16"/>
      <c r="K105" s="65"/>
    </row>
    <row r="106" spans="2:11" ht="22.5" customHeight="1" x14ac:dyDescent="0.3">
      <c r="B106" s="59"/>
      <c r="C106" s="1" t="s">
        <v>3</v>
      </c>
      <c r="D106" s="8" t="str">
        <f>IF(VLOOKUP(G106,$C$46:$E$77,2,FALSE)="","",VLOOKUP(G106,$C$46:$E$77,2,FALSE))</f>
        <v/>
      </c>
      <c r="E106" s="63" t="str">
        <f>IF(VLOOKUP(G106,$C$46:$E$77,3,FALSE)="","",VLOOKUP(G106,$C$46:$E$77,3,FALSE))</f>
        <v/>
      </c>
      <c r="F106" s="64"/>
      <c r="G106" s="13"/>
      <c r="H106" s="63" t="str">
        <f t="shared" si="15"/>
        <v/>
      </c>
      <c r="I106" s="64"/>
      <c r="J106" s="15" t="s">
        <v>706</v>
      </c>
      <c r="K106" s="65"/>
    </row>
    <row r="107" spans="2:11" ht="22.5" customHeight="1" x14ac:dyDescent="0.3">
      <c r="B107" s="59"/>
      <c r="C107" s="1" t="s">
        <v>4</v>
      </c>
      <c r="D107" s="8" t="str">
        <f t="shared" ref="D107:D110" si="16">IF(VLOOKUP(G107,$C$46:$E$77,2,FALSE)="","",VLOOKUP(G107,$C$46:$E$77,2,FALSE))</f>
        <v/>
      </c>
      <c r="E107" s="63" t="str">
        <f t="shared" ref="E107:E110" si="17">IF(VLOOKUP(G107,$C$46:$E$77,3,FALSE)="","",VLOOKUP(G107,$C$46:$E$77,3,FALSE))</f>
        <v/>
      </c>
      <c r="F107" s="64"/>
      <c r="G107" s="13"/>
      <c r="H107" s="63" t="str">
        <f t="shared" si="15"/>
        <v/>
      </c>
      <c r="I107" s="64"/>
      <c r="J107" s="15" t="s">
        <v>707</v>
      </c>
      <c r="K107" s="65"/>
    </row>
    <row r="108" spans="2:11" ht="22.5" customHeight="1" x14ac:dyDescent="0.3">
      <c r="B108" s="59"/>
      <c r="C108" s="1" t="s">
        <v>5</v>
      </c>
      <c r="D108" s="8" t="str">
        <f t="shared" si="16"/>
        <v/>
      </c>
      <c r="E108" s="63" t="str">
        <f t="shared" si="17"/>
        <v/>
      </c>
      <c r="F108" s="64"/>
      <c r="G108" s="13"/>
      <c r="H108" s="63" t="str">
        <f t="shared" si="15"/>
        <v/>
      </c>
      <c r="I108" s="64"/>
      <c r="J108" s="15" t="s">
        <v>708</v>
      </c>
      <c r="K108" s="65"/>
    </row>
    <row r="109" spans="2:11" ht="22.5" customHeight="1" x14ac:dyDescent="0.3">
      <c r="B109" s="59"/>
      <c r="C109" s="1" t="s">
        <v>6</v>
      </c>
      <c r="D109" s="8" t="str">
        <f t="shared" si="16"/>
        <v/>
      </c>
      <c r="E109" s="63" t="str">
        <f t="shared" si="17"/>
        <v/>
      </c>
      <c r="F109" s="64"/>
      <c r="G109" s="13"/>
      <c r="H109" s="63" t="str">
        <f t="shared" si="15"/>
        <v/>
      </c>
      <c r="I109" s="64"/>
      <c r="J109" s="15"/>
      <c r="K109" s="65"/>
    </row>
    <row r="110" spans="2:11" ht="22.5" customHeight="1" x14ac:dyDescent="0.3">
      <c r="B110" s="60"/>
      <c r="C110" s="1" t="s">
        <v>7</v>
      </c>
      <c r="D110" s="8" t="str">
        <f t="shared" si="16"/>
        <v/>
      </c>
      <c r="E110" s="63" t="str">
        <f t="shared" si="17"/>
        <v/>
      </c>
      <c r="F110" s="64"/>
      <c r="G110" s="13"/>
      <c r="H110" s="63" t="str">
        <f t="shared" si="15"/>
        <v/>
      </c>
      <c r="I110" s="64"/>
      <c r="J110" s="15"/>
      <c r="K110" s="66"/>
    </row>
    <row r="111" spans="2:11" ht="22.5" customHeight="1" x14ac:dyDescent="0.3">
      <c r="B111" s="58" t="s">
        <v>19</v>
      </c>
      <c r="C111" s="5" t="s">
        <v>8</v>
      </c>
      <c r="D111" s="5" t="s">
        <v>10</v>
      </c>
      <c r="E111" s="61" t="s">
        <v>13</v>
      </c>
      <c r="F111" s="62"/>
      <c r="G111" s="12" t="s">
        <v>11</v>
      </c>
      <c r="H111" s="61" t="s">
        <v>12</v>
      </c>
      <c r="I111" s="62"/>
      <c r="J111" s="12" t="s">
        <v>14</v>
      </c>
      <c r="K111" s="12" t="s">
        <v>34</v>
      </c>
    </row>
    <row r="112" spans="2:11" ht="22.5" customHeight="1" x14ac:dyDescent="0.3">
      <c r="B112" s="59"/>
      <c r="C112" s="1" t="s">
        <v>0</v>
      </c>
      <c r="D112" s="8" t="str">
        <f>IF(VLOOKUP(G112,$C$46:$E$77,2,FALSE)="","",VLOOKUP(G112,$C$46:$E$77,2,FALSE))</f>
        <v/>
      </c>
      <c r="E112" s="63" t="str">
        <f>IF(VLOOKUP(G112,$C$46:$E$77,3,FALSE)="","",VLOOKUP(G112,$C$46:$E$77,3,FALSE))</f>
        <v/>
      </c>
      <c r="F112" s="64"/>
      <c r="G112" s="13"/>
      <c r="H112" s="63" t="str">
        <f>IFERROR(VLOOKUP(G112,$G$46:$H$77,2,FALSE),"")</f>
        <v/>
      </c>
      <c r="I112" s="64"/>
      <c r="J112" s="15"/>
      <c r="K112" s="54"/>
    </row>
    <row r="113" spans="2:11" ht="22.5" customHeight="1" x14ac:dyDescent="0.3">
      <c r="B113" s="59"/>
      <c r="C113" s="1" t="s">
        <v>1</v>
      </c>
      <c r="D113" s="8" t="str">
        <f t="shared" ref="D113:D114" si="18">IF(VLOOKUP(G113,$C$46:$E$77,2,FALSE)="","",VLOOKUP(G113,$C$46:$E$77,2,FALSE))</f>
        <v/>
      </c>
      <c r="E113" s="63" t="str">
        <f t="shared" ref="E113:E114" si="19">IF(VLOOKUP(G113,$C$46:$E$77,3,FALSE)="","",VLOOKUP(G113,$C$46:$E$77,3,FALSE))</f>
        <v/>
      </c>
      <c r="F113" s="64"/>
      <c r="G113" s="13"/>
      <c r="H113" s="63" t="str">
        <f t="shared" ref="H113:H120" si="20">IFERROR(VLOOKUP(G113,$G$46:$H$77,2,FALSE),"")</f>
        <v/>
      </c>
      <c r="I113" s="64"/>
      <c r="J113" s="15"/>
      <c r="K113" s="65"/>
    </row>
    <row r="114" spans="2:11" ht="22.5" customHeight="1" x14ac:dyDescent="0.3">
      <c r="B114" s="59"/>
      <c r="C114" s="1" t="s">
        <v>2</v>
      </c>
      <c r="D114" s="8" t="str">
        <f t="shared" si="18"/>
        <v/>
      </c>
      <c r="E114" s="63" t="str">
        <f t="shared" si="19"/>
        <v/>
      </c>
      <c r="F114" s="64"/>
      <c r="G114" s="13"/>
      <c r="H114" s="63" t="str">
        <f t="shared" si="20"/>
        <v/>
      </c>
      <c r="I114" s="64"/>
      <c r="J114" s="15"/>
      <c r="K114" s="65"/>
    </row>
    <row r="115" spans="2:11" ht="22.5" customHeight="1" x14ac:dyDescent="0.3">
      <c r="B115" s="59"/>
      <c r="C115" s="2" t="s">
        <v>18</v>
      </c>
      <c r="D115" s="7"/>
      <c r="E115" s="67"/>
      <c r="F115" s="68"/>
      <c r="G115" s="17"/>
      <c r="H115" s="67"/>
      <c r="I115" s="68"/>
      <c r="J115" s="16"/>
      <c r="K115" s="65"/>
    </row>
    <row r="116" spans="2:11" ht="22.5" customHeight="1" x14ac:dyDescent="0.3">
      <c r="B116" s="59"/>
      <c r="C116" s="1" t="s">
        <v>3</v>
      </c>
      <c r="D116" s="8" t="str">
        <f>IF(VLOOKUP(G116,$C$46:$E$77,2,FALSE)="","",VLOOKUP(G116,$C$46:$E$77,2,FALSE))</f>
        <v/>
      </c>
      <c r="E116" s="63" t="str">
        <f>IF(VLOOKUP(G116,$C$46:$E$77,3,FALSE)="","",VLOOKUP(G116,$C$46:$E$77,3,FALSE))</f>
        <v/>
      </c>
      <c r="F116" s="64"/>
      <c r="G116" s="13"/>
      <c r="H116" s="63" t="str">
        <f t="shared" si="20"/>
        <v/>
      </c>
      <c r="I116" s="64"/>
      <c r="J116" s="15"/>
      <c r="K116" s="65"/>
    </row>
    <row r="117" spans="2:11" ht="22.5" customHeight="1" x14ac:dyDescent="0.3">
      <c r="B117" s="59"/>
      <c r="C117" s="1" t="s">
        <v>4</v>
      </c>
      <c r="D117" s="8" t="str">
        <f t="shared" ref="D117:D120" si="21">IF(VLOOKUP(G117,$C$46:$E$77,2,FALSE)="","",VLOOKUP(G117,$C$46:$E$77,2,FALSE))</f>
        <v/>
      </c>
      <c r="E117" s="63" t="str">
        <f t="shared" ref="E117:E120" si="22">IF(VLOOKUP(G117,$C$46:$E$77,3,FALSE)="","",VLOOKUP(G117,$C$46:$E$77,3,FALSE))</f>
        <v/>
      </c>
      <c r="F117" s="64"/>
      <c r="G117" s="13"/>
      <c r="H117" s="63" t="str">
        <f t="shared" si="20"/>
        <v/>
      </c>
      <c r="I117" s="64"/>
      <c r="J117" s="15"/>
      <c r="K117" s="65"/>
    </row>
    <row r="118" spans="2:11" ht="22.5" customHeight="1" x14ac:dyDescent="0.3">
      <c r="B118" s="59"/>
      <c r="C118" s="1" t="s">
        <v>5</v>
      </c>
      <c r="D118" s="8" t="str">
        <f t="shared" si="21"/>
        <v/>
      </c>
      <c r="E118" s="63" t="str">
        <f t="shared" si="22"/>
        <v/>
      </c>
      <c r="F118" s="64"/>
      <c r="G118" s="13"/>
      <c r="H118" s="63" t="str">
        <f t="shared" si="20"/>
        <v/>
      </c>
      <c r="I118" s="64"/>
      <c r="J118" s="15"/>
      <c r="K118" s="65"/>
    </row>
    <row r="119" spans="2:11" ht="22.5" customHeight="1" x14ac:dyDescent="0.3">
      <c r="B119" s="59"/>
      <c r="C119" s="1" t="s">
        <v>6</v>
      </c>
      <c r="D119" s="8" t="str">
        <f t="shared" si="21"/>
        <v/>
      </c>
      <c r="E119" s="63" t="str">
        <f t="shared" si="22"/>
        <v/>
      </c>
      <c r="F119" s="64"/>
      <c r="G119" s="13"/>
      <c r="H119" s="63" t="str">
        <f t="shared" si="20"/>
        <v/>
      </c>
      <c r="I119" s="64"/>
      <c r="J119" s="15"/>
      <c r="K119" s="65"/>
    </row>
    <row r="120" spans="2:11" ht="22.5" customHeight="1" x14ac:dyDescent="0.3">
      <c r="B120" s="60"/>
      <c r="C120" s="1" t="s">
        <v>7</v>
      </c>
      <c r="D120" s="8" t="str">
        <f t="shared" si="21"/>
        <v/>
      </c>
      <c r="E120" s="63" t="str">
        <f t="shared" si="22"/>
        <v/>
      </c>
      <c r="F120" s="64"/>
      <c r="G120" s="13"/>
      <c r="H120" s="63" t="str">
        <f t="shared" si="20"/>
        <v/>
      </c>
      <c r="I120" s="64"/>
      <c r="J120" s="15"/>
      <c r="K120" s="66"/>
    </row>
    <row r="121" spans="2:11" ht="22.5" customHeight="1" x14ac:dyDescent="0.3">
      <c r="B121" s="58" t="s">
        <v>20</v>
      </c>
      <c r="C121" s="5" t="s">
        <v>8</v>
      </c>
      <c r="D121" s="5" t="s">
        <v>10</v>
      </c>
      <c r="E121" s="61" t="s">
        <v>13</v>
      </c>
      <c r="F121" s="62"/>
      <c r="G121" s="12" t="s">
        <v>11</v>
      </c>
      <c r="H121" s="61" t="s">
        <v>12</v>
      </c>
      <c r="I121" s="62"/>
      <c r="J121" s="12" t="s">
        <v>14</v>
      </c>
      <c r="K121" s="12" t="s">
        <v>35</v>
      </c>
    </row>
    <row r="122" spans="2:11" ht="22.5" customHeight="1" x14ac:dyDescent="0.3">
      <c r="B122" s="59"/>
      <c r="C122" s="1" t="s">
        <v>0</v>
      </c>
      <c r="D122" s="8" t="str">
        <f>IF(VLOOKUP(G122,$C$46:$E$77,2,FALSE)="","",VLOOKUP(G122,$C$46:$E$77,2,FALSE))</f>
        <v/>
      </c>
      <c r="E122" s="63" t="str">
        <f>IF(VLOOKUP(G122,$C$46:$E$77,3,FALSE)="","",VLOOKUP(G122,$C$46:$E$77,3,FALSE))</f>
        <v/>
      </c>
      <c r="F122" s="64"/>
      <c r="G122" s="13"/>
      <c r="H122" s="63" t="str">
        <f>IFERROR(VLOOKUP(G122,$G$46:$H$77,2,FALSE),"")</f>
        <v/>
      </c>
      <c r="I122" s="64"/>
      <c r="J122" s="15"/>
      <c r="K122" s="54"/>
    </row>
    <row r="123" spans="2:11" ht="22.5" customHeight="1" x14ac:dyDescent="0.3">
      <c r="B123" s="59"/>
      <c r="C123" s="1" t="s">
        <v>1</v>
      </c>
      <c r="D123" s="8" t="str">
        <f t="shared" ref="D123:D124" si="23">IF(VLOOKUP(G123,$C$46:$E$77,2,FALSE)="","",VLOOKUP(G123,$C$46:$E$77,2,FALSE))</f>
        <v/>
      </c>
      <c r="E123" s="63" t="str">
        <f t="shared" ref="E123:E124" si="24">IF(VLOOKUP(G123,$C$46:$E$77,3,FALSE)="","",VLOOKUP(G123,$C$46:$E$77,3,FALSE))</f>
        <v/>
      </c>
      <c r="F123" s="64"/>
      <c r="G123" s="13"/>
      <c r="H123" s="63" t="str">
        <f t="shared" ref="H123:H130" si="25">IFERROR(VLOOKUP(G123,$G$46:$H$77,2,FALSE),"")</f>
        <v/>
      </c>
      <c r="I123" s="64"/>
      <c r="J123" s="15"/>
      <c r="K123" s="65"/>
    </row>
    <row r="124" spans="2:11" ht="22.5" customHeight="1" x14ac:dyDescent="0.3">
      <c r="B124" s="59"/>
      <c r="C124" s="1" t="s">
        <v>2</v>
      </c>
      <c r="D124" s="8" t="str">
        <f t="shared" si="23"/>
        <v/>
      </c>
      <c r="E124" s="63" t="str">
        <f t="shared" si="24"/>
        <v/>
      </c>
      <c r="F124" s="64"/>
      <c r="G124" s="13"/>
      <c r="H124" s="63" t="str">
        <f t="shared" si="25"/>
        <v/>
      </c>
      <c r="I124" s="64"/>
      <c r="J124" s="15"/>
      <c r="K124" s="65"/>
    </row>
    <row r="125" spans="2:11" ht="22.5" customHeight="1" x14ac:dyDescent="0.3">
      <c r="B125" s="59"/>
      <c r="C125" s="2" t="s">
        <v>18</v>
      </c>
      <c r="D125" s="7"/>
      <c r="E125" s="67"/>
      <c r="F125" s="68"/>
      <c r="G125" s="17"/>
      <c r="H125" s="67"/>
      <c r="I125" s="68"/>
      <c r="J125" s="16"/>
      <c r="K125" s="65"/>
    </row>
    <row r="126" spans="2:11" ht="22.5" customHeight="1" x14ac:dyDescent="0.3">
      <c r="B126" s="59"/>
      <c r="C126" s="1" t="s">
        <v>3</v>
      </c>
      <c r="D126" s="8" t="str">
        <f>IF(VLOOKUP(G126,$C$46:$E$77,2,FALSE)="","",VLOOKUP(G126,$C$46:$E$77,2,FALSE))</f>
        <v/>
      </c>
      <c r="E126" s="63" t="str">
        <f>IF(VLOOKUP(G126,$C$46:$E$77,3,FALSE)="","",VLOOKUP(G126,$C$46:$E$77,3,FALSE))</f>
        <v/>
      </c>
      <c r="F126" s="64"/>
      <c r="G126" s="13"/>
      <c r="H126" s="63" t="str">
        <f t="shared" si="25"/>
        <v/>
      </c>
      <c r="I126" s="64"/>
      <c r="J126" s="15"/>
      <c r="K126" s="65"/>
    </row>
    <row r="127" spans="2:11" ht="22.5" customHeight="1" x14ac:dyDescent="0.3">
      <c r="B127" s="59"/>
      <c r="C127" s="1" t="s">
        <v>4</v>
      </c>
      <c r="D127" s="8" t="str">
        <f t="shared" ref="D127:D130" si="26">IF(VLOOKUP(G127,$C$46:$E$77,2,FALSE)="","",VLOOKUP(G127,$C$46:$E$77,2,FALSE))</f>
        <v/>
      </c>
      <c r="E127" s="63" t="str">
        <f t="shared" ref="E127:E130" si="27">IF(VLOOKUP(G127,$C$46:$E$77,3,FALSE)="","",VLOOKUP(G127,$C$46:$E$77,3,FALSE))</f>
        <v/>
      </c>
      <c r="F127" s="64"/>
      <c r="G127" s="13"/>
      <c r="H127" s="63" t="str">
        <f t="shared" si="25"/>
        <v/>
      </c>
      <c r="I127" s="64"/>
      <c r="J127" s="15"/>
      <c r="K127" s="65"/>
    </row>
    <row r="128" spans="2:11" ht="22.5" customHeight="1" x14ac:dyDescent="0.3">
      <c r="B128" s="59"/>
      <c r="C128" s="1" t="s">
        <v>5</v>
      </c>
      <c r="D128" s="8" t="str">
        <f t="shared" si="26"/>
        <v/>
      </c>
      <c r="E128" s="63" t="str">
        <f t="shared" si="27"/>
        <v/>
      </c>
      <c r="F128" s="64"/>
      <c r="G128" s="13"/>
      <c r="H128" s="63" t="str">
        <f t="shared" si="25"/>
        <v/>
      </c>
      <c r="I128" s="64"/>
      <c r="J128" s="15"/>
      <c r="K128" s="65"/>
    </row>
    <row r="129" spans="2:11" ht="22.5" customHeight="1" x14ac:dyDescent="0.3">
      <c r="B129" s="59"/>
      <c r="C129" s="1" t="s">
        <v>6</v>
      </c>
      <c r="D129" s="8" t="str">
        <f t="shared" si="26"/>
        <v/>
      </c>
      <c r="E129" s="63" t="str">
        <f t="shared" si="27"/>
        <v/>
      </c>
      <c r="F129" s="64"/>
      <c r="G129" s="13"/>
      <c r="H129" s="63" t="str">
        <f t="shared" si="25"/>
        <v/>
      </c>
      <c r="I129" s="64"/>
      <c r="J129" s="15"/>
      <c r="K129" s="65"/>
    </row>
    <row r="130" spans="2:11" ht="22.5" customHeight="1" x14ac:dyDescent="0.3">
      <c r="B130" s="60"/>
      <c r="C130" s="1" t="s">
        <v>7</v>
      </c>
      <c r="D130" s="8" t="str">
        <f t="shared" si="26"/>
        <v/>
      </c>
      <c r="E130" s="63" t="str">
        <f t="shared" si="27"/>
        <v/>
      </c>
      <c r="F130" s="64"/>
      <c r="G130" s="13"/>
      <c r="H130" s="63" t="str">
        <f t="shared" si="25"/>
        <v/>
      </c>
      <c r="I130" s="64"/>
      <c r="J130" s="15"/>
      <c r="K130" s="66"/>
    </row>
    <row r="131" spans="2:11" ht="22.5" customHeight="1" x14ac:dyDescent="0.3">
      <c r="K131" s="11">
        <f>COUNTA(K82,K92,K102,K112,K122)</f>
        <v>3</v>
      </c>
    </row>
    <row r="132" spans="2:11" ht="22.5" customHeight="1" x14ac:dyDescent="0.3"/>
    <row r="133" spans="2:11" ht="22.5" customHeight="1" x14ac:dyDescent="0.3"/>
    <row r="134" spans="2:11" ht="22.5" customHeight="1" x14ac:dyDescent="0.3"/>
    <row r="135" spans="2:11" ht="22.5" customHeight="1" x14ac:dyDescent="0.3"/>
    <row r="136" spans="2:11" ht="22.5" customHeight="1" x14ac:dyDescent="0.3"/>
    <row r="137" spans="2:11" ht="22.5" customHeight="1" x14ac:dyDescent="0.3"/>
    <row r="138" spans="2:11" ht="22.5" customHeight="1" x14ac:dyDescent="0.3"/>
    <row r="139" spans="2:11" ht="22.5" customHeight="1" x14ac:dyDescent="0.3"/>
    <row r="140" spans="2:11" ht="22.5" customHeight="1" x14ac:dyDescent="0.3"/>
    <row r="141" spans="2:11" ht="22.5" customHeight="1" x14ac:dyDescent="0.3"/>
    <row r="142" spans="2:11"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EAF221F-7D71-4ED6-A576-D2AED1132B9A}">
          <x14:formula1>
            <xm:f>통합!$A$2:$A$52</xm:f>
          </x14:formula1>
          <xm:sqref>C2:I2</xm:sqref>
        </x14:dataValidation>
        <x14:dataValidation type="list" allowBlank="1" showInputMessage="1" showErrorMessage="1" xr:uid="{DE15565F-7969-4803-8B56-4E7532AABF22}">
          <x14:formula1>
            <xm:f>통합!$A$2:$A$43</xm:f>
          </x14:formula1>
          <xm:sqref>J46:J77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48C0-B2C6-4EF9-9FB0-D92A4EE8DB5D}">
  <dimension ref="A1:O142"/>
  <sheetViews>
    <sheetView zoomScaleNormal="100" workbookViewId="0">
      <selection activeCell="C29" sqref="C29:I2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6" t="s">
        <v>231</v>
      </c>
      <c r="B1" s="46"/>
      <c r="C1" s="46"/>
      <c r="D1" s="46"/>
      <c r="E1" s="46"/>
      <c r="F1" s="46"/>
      <c r="G1" s="46"/>
      <c r="H1" s="46"/>
      <c r="I1" s="46"/>
      <c r="J1" s="46"/>
      <c r="K1" s="46"/>
    </row>
    <row r="2" spans="1:15" ht="21.75" customHeight="1" x14ac:dyDescent="0.3">
      <c r="B2" s="4" t="s">
        <v>205</v>
      </c>
      <c r="C2" s="43" t="s">
        <v>346</v>
      </c>
      <c r="D2" s="43"/>
      <c r="E2" s="43"/>
      <c r="F2" s="43"/>
      <c r="G2" s="43"/>
      <c r="H2" s="43"/>
      <c r="I2" s="44"/>
      <c r="J2" s="45"/>
      <c r="K2" s="45"/>
      <c r="L2" s="10"/>
      <c r="M2" s="10"/>
      <c r="N2" s="10"/>
      <c r="O2" s="10"/>
    </row>
    <row r="3" spans="1:15" ht="21.75" customHeight="1" x14ac:dyDescent="0.3">
      <c r="A3" s="11" t="s">
        <v>169</v>
      </c>
      <c r="B3" s="4" t="s">
        <v>23</v>
      </c>
      <c r="C3" s="43" t="s">
        <v>533</v>
      </c>
      <c r="D3" s="43"/>
      <c r="E3" s="43"/>
      <c r="F3" s="43"/>
      <c r="G3" s="43"/>
      <c r="H3" s="43"/>
      <c r="I3" s="44"/>
      <c r="J3" s="45" t="s">
        <v>226</v>
      </c>
      <c r="K3" s="45"/>
      <c r="L3" s="10"/>
      <c r="M3" s="10"/>
      <c r="N3" s="10"/>
      <c r="O3" s="10"/>
    </row>
    <row r="4" spans="1:15" ht="156.75" customHeight="1" x14ac:dyDescent="0.3">
      <c r="B4" s="4" t="s">
        <v>230</v>
      </c>
      <c r="C4" s="47" t="s">
        <v>718</v>
      </c>
      <c r="D4" s="43"/>
      <c r="E4" s="43"/>
      <c r="F4" s="43"/>
      <c r="G4" s="43"/>
      <c r="H4" s="43"/>
      <c r="I4" s="44"/>
      <c r="J4" s="45"/>
      <c r="K4" s="45"/>
      <c r="L4" s="10"/>
      <c r="M4" s="10"/>
      <c r="N4" s="10"/>
      <c r="O4" s="10"/>
    </row>
    <row r="5" spans="1:15" ht="21.75" customHeight="1" x14ac:dyDescent="0.3">
      <c r="A5" s="11" t="s">
        <v>188</v>
      </c>
      <c r="B5" s="4" t="s">
        <v>184</v>
      </c>
      <c r="C5" s="43" t="str">
        <f>VLOOKUP($C$2,통합!A2:J52,2,FALSE)</f>
        <v>20.정보통신</v>
      </c>
      <c r="D5" s="43"/>
      <c r="E5" s="43"/>
      <c r="F5" s="43"/>
      <c r="G5" s="43"/>
      <c r="H5" s="43"/>
      <c r="I5" s="44"/>
      <c r="J5" s="45"/>
      <c r="K5" s="45"/>
      <c r="L5" s="10"/>
      <c r="M5" s="10"/>
      <c r="N5" s="10"/>
      <c r="O5" s="10"/>
    </row>
    <row r="6" spans="1:15" ht="21.75" customHeight="1" x14ac:dyDescent="0.3">
      <c r="A6" s="11" t="s">
        <v>189</v>
      </c>
      <c r="B6" s="4" t="s">
        <v>185</v>
      </c>
      <c r="C6" s="43" t="str">
        <f>VLOOKUP($C$2,통합!A2:J52,3,FALSE)</f>
        <v>01.정보기술</v>
      </c>
      <c r="D6" s="43"/>
      <c r="E6" s="43"/>
      <c r="F6" s="43"/>
      <c r="G6" s="43"/>
      <c r="H6" s="43"/>
      <c r="I6" s="44"/>
      <c r="J6" s="45"/>
      <c r="K6" s="45"/>
      <c r="L6" s="10"/>
      <c r="M6" s="10"/>
      <c r="N6" s="10"/>
      <c r="O6" s="10"/>
    </row>
    <row r="7" spans="1:15" ht="21.75" customHeight="1" x14ac:dyDescent="0.3">
      <c r="A7" s="11" t="s">
        <v>190</v>
      </c>
      <c r="B7" s="4" t="s">
        <v>186</v>
      </c>
      <c r="C7" s="43" t="str">
        <f>VLOOKUP($C$2,통합!A2:J52,4,FALSE)</f>
        <v xml:space="preserve">07.인공지능 </v>
      </c>
      <c r="D7" s="43"/>
      <c r="E7" s="43"/>
      <c r="F7" s="43"/>
      <c r="G7" s="43"/>
      <c r="H7" s="43"/>
      <c r="I7" s="44"/>
      <c r="J7" s="45"/>
      <c r="K7" s="45"/>
      <c r="L7" s="10"/>
      <c r="M7" s="10"/>
      <c r="N7" s="10"/>
      <c r="O7" s="10"/>
    </row>
    <row r="8" spans="1:15" ht="21.75" customHeight="1" x14ac:dyDescent="0.3">
      <c r="A8" s="11" t="s">
        <v>191</v>
      </c>
      <c r="B8" s="4" t="s">
        <v>187</v>
      </c>
      <c r="C8" s="43" t="str">
        <f>VLOOKUP($C$2,통합!A2:J52,8,FALSE)&amp;"."&amp;VLOOKUP($C$2,통합!A2:J52,9,FALSE)</f>
        <v>05.프롬프트 구현</v>
      </c>
      <c r="D8" s="43"/>
      <c r="E8" s="43"/>
      <c r="F8" s="43"/>
      <c r="G8" s="43"/>
      <c r="H8" s="43"/>
      <c r="I8" s="44"/>
      <c r="J8" s="45"/>
      <c r="K8" s="45"/>
      <c r="L8" s="10"/>
      <c r="M8" s="10"/>
      <c r="N8" s="10"/>
      <c r="O8" s="10"/>
    </row>
    <row r="9" spans="1:15" ht="21.75" customHeight="1" x14ac:dyDescent="0.3">
      <c r="A9" s="11" t="s">
        <v>210</v>
      </c>
      <c r="B9" s="4" t="s">
        <v>176</v>
      </c>
      <c r="C9" s="43" t="str">
        <f>VLOOKUP($C$2,통합!A2:J52,7,FALSE)</f>
        <v>2001070705_25v1</v>
      </c>
      <c r="D9" s="43"/>
      <c r="E9" s="43"/>
      <c r="F9" s="43"/>
      <c r="G9" s="43"/>
      <c r="H9" s="43"/>
      <c r="I9" s="44"/>
      <c r="J9" s="45"/>
      <c r="K9" s="45"/>
      <c r="L9" s="10"/>
      <c r="M9" s="10"/>
      <c r="N9" s="10"/>
      <c r="O9" s="10"/>
    </row>
    <row r="10" spans="1:15" ht="21.75" customHeight="1" x14ac:dyDescent="0.3">
      <c r="A10" s="11" t="s">
        <v>208</v>
      </c>
      <c r="B10" s="4" t="s">
        <v>24</v>
      </c>
      <c r="C10" s="43">
        <f>VLOOKUP($C$2,통합!A2:J52,6,FALSE)</f>
        <v>5</v>
      </c>
      <c r="D10" s="43"/>
      <c r="E10" s="43"/>
      <c r="F10" s="43"/>
      <c r="G10" s="43"/>
      <c r="H10" s="43"/>
      <c r="I10" s="44"/>
      <c r="J10" s="45"/>
      <c r="K10" s="45"/>
      <c r="L10" s="10"/>
      <c r="M10" s="10"/>
      <c r="N10" s="10"/>
      <c r="O10" s="10"/>
    </row>
    <row r="11" spans="1:15" ht="21.75" customHeight="1" x14ac:dyDescent="0.3">
      <c r="A11" s="11" t="s">
        <v>174</v>
      </c>
      <c r="B11" s="4" t="s">
        <v>15</v>
      </c>
      <c r="C11" s="48" t="str">
        <f>F78&amp;"시간( "&amp;K131&amp;"일)"</f>
        <v>1시간( 3일)</v>
      </c>
      <c r="D11" s="48"/>
      <c r="E11" s="48"/>
      <c r="F11" s="48"/>
      <c r="G11" s="48"/>
      <c r="H11" s="48"/>
      <c r="I11" s="49"/>
      <c r="J11" s="18" t="s">
        <v>175</v>
      </c>
      <c r="K11" s="18"/>
      <c r="L11" s="10"/>
      <c r="M11" s="10"/>
      <c r="N11" s="10"/>
      <c r="O11" s="10"/>
    </row>
    <row r="12" spans="1:15" ht="28.5" customHeight="1" x14ac:dyDescent="0.3">
      <c r="A12" s="50" t="s">
        <v>232</v>
      </c>
      <c r="B12" s="50"/>
      <c r="C12" s="50"/>
      <c r="D12" s="50"/>
      <c r="E12" s="50"/>
      <c r="F12" s="50"/>
      <c r="G12" s="50"/>
      <c r="H12" s="50"/>
      <c r="I12" s="50"/>
      <c r="J12" s="50"/>
      <c r="K12" s="51"/>
      <c r="L12" s="10"/>
      <c r="M12" s="10"/>
      <c r="N12" s="10"/>
      <c r="O12" s="10"/>
    </row>
    <row r="13" spans="1:15" ht="21.75" customHeight="1" x14ac:dyDescent="0.3">
      <c r="A13" s="11" t="s">
        <v>172</v>
      </c>
      <c r="B13" s="4" t="s">
        <v>21</v>
      </c>
      <c r="C13" s="43" t="s">
        <v>626</v>
      </c>
      <c r="D13" s="43"/>
      <c r="E13" s="43"/>
      <c r="F13" s="43"/>
      <c r="G13" s="43"/>
      <c r="H13" s="43"/>
      <c r="I13" s="44"/>
      <c r="J13" s="45" t="s">
        <v>37</v>
      </c>
      <c r="K13" s="45"/>
      <c r="L13" s="10"/>
      <c r="M13" s="10"/>
      <c r="N13" s="10"/>
      <c r="O13" s="10"/>
    </row>
    <row r="14" spans="1:15" ht="21.75" customHeight="1" x14ac:dyDescent="0.3">
      <c r="A14" s="11" t="s">
        <v>222</v>
      </c>
      <c r="B14" s="4" t="s">
        <v>223</v>
      </c>
      <c r="C14" s="43" t="s">
        <v>627</v>
      </c>
      <c r="D14" s="43"/>
      <c r="E14" s="43"/>
      <c r="F14" s="43"/>
      <c r="G14" s="43"/>
      <c r="H14" s="43"/>
      <c r="I14" s="44"/>
      <c r="J14" s="45" t="s">
        <v>224</v>
      </c>
      <c r="K14" s="45"/>
      <c r="L14" s="10"/>
      <c r="M14" s="10"/>
      <c r="N14" s="10"/>
      <c r="O14" s="10"/>
    </row>
    <row r="15" spans="1:15" ht="21.75" customHeight="1" x14ac:dyDescent="0.3">
      <c r="A15" s="11" t="s">
        <v>182</v>
      </c>
      <c r="B15" s="4" t="s">
        <v>178</v>
      </c>
      <c r="C15" s="43" t="s">
        <v>535</v>
      </c>
      <c r="D15" s="43"/>
      <c r="E15" s="43"/>
      <c r="F15" s="43"/>
      <c r="G15" s="43"/>
      <c r="H15" s="43"/>
      <c r="I15" s="44"/>
      <c r="J15" s="45" t="s">
        <v>177</v>
      </c>
      <c r="K15" s="45"/>
      <c r="L15" s="10"/>
      <c r="M15" s="10"/>
      <c r="N15" s="10"/>
      <c r="O15" s="10"/>
    </row>
    <row r="16" spans="1:15" ht="21.75" customHeight="1" x14ac:dyDescent="0.3">
      <c r="A16" s="11" t="s">
        <v>181</v>
      </c>
      <c r="B16" s="4" t="s">
        <v>179</v>
      </c>
      <c r="C16" s="43" t="s">
        <v>719</v>
      </c>
      <c r="D16" s="43"/>
      <c r="E16" s="43"/>
      <c r="F16" s="43"/>
      <c r="G16" s="43"/>
      <c r="H16" s="43"/>
      <c r="I16" s="44"/>
      <c r="J16" s="45" t="s">
        <v>180</v>
      </c>
      <c r="K16" s="45"/>
      <c r="L16" s="10"/>
      <c r="M16" s="10"/>
      <c r="N16" s="10"/>
      <c r="O16" s="10"/>
    </row>
    <row r="17" spans="1:15" ht="48.75" customHeight="1" x14ac:dyDescent="0.3">
      <c r="A17" s="11" t="s">
        <v>171</v>
      </c>
      <c r="B17" s="4" t="s">
        <v>206</v>
      </c>
      <c r="C17" s="43" t="s">
        <v>720</v>
      </c>
      <c r="D17" s="43"/>
      <c r="E17" s="43"/>
      <c r="F17" s="43"/>
      <c r="G17" s="43"/>
      <c r="H17" s="43"/>
      <c r="I17" s="44"/>
      <c r="J17" s="45" t="s">
        <v>170</v>
      </c>
      <c r="K17" s="45"/>
      <c r="L17" s="10"/>
      <c r="M17" s="10"/>
      <c r="N17" s="10"/>
      <c r="O17" s="10"/>
    </row>
    <row r="18" spans="1:15" ht="48.75" customHeight="1" x14ac:dyDescent="0.3">
      <c r="A18" s="11" t="s">
        <v>183</v>
      </c>
      <c r="B18" s="4" t="s">
        <v>207</v>
      </c>
      <c r="C18" s="43" t="s">
        <v>628</v>
      </c>
      <c r="D18" s="43"/>
      <c r="E18" s="43"/>
      <c r="F18" s="43"/>
      <c r="G18" s="43"/>
      <c r="H18" s="43"/>
      <c r="I18" s="44"/>
      <c r="J18" s="45" t="s">
        <v>170</v>
      </c>
      <c r="K18" s="45"/>
      <c r="L18" s="10"/>
      <c r="M18" s="10"/>
      <c r="N18" s="10"/>
      <c r="O18" s="10"/>
    </row>
    <row r="19" spans="1:15" ht="44.25" customHeight="1" x14ac:dyDescent="0.3">
      <c r="A19" s="11" t="s">
        <v>209</v>
      </c>
      <c r="B19" s="4" t="s">
        <v>22</v>
      </c>
      <c r="C19" s="47" t="s">
        <v>721</v>
      </c>
      <c r="D19" s="43"/>
      <c r="E19" s="43"/>
      <c r="F19" s="43"/>
      <c r="G19" s="43"/>
      <c r="H19" s="43"/>
      <c r="I19" s="44"/>
      <c r="J19" s="45" t="s">
        <v>39</v>
      </c>
      <c r="K19" s="45"/>
      <c r="L19" s="10"/>
      <c r="M19" s="10"/>
      <c r="N19" s="10"/>
      <c r="O19" s="10"/>
    </row>
    <row r="20" spans="1:15" ht="28.5" customHeight="1" x14ac:dyDescent="0.3">
      <c r="A20" s="11" t="s">
        <v>212</v>
      </c>
      <c r="B20" s="4" t="s">
        <v>25</v>
      </c>
      <c r="C20" s="43" t="s">
        <v>722</v>
      </c>
      <c r="D20" s="43"/>
      <c r="E20" s="43"/>
      <c r="F20" s="43"/>
      <c r="G20" s="43"/>
      <c r="H20" s="43"/>
      <c r="I20" s="44"/>
      <c r="J20" s="45" t="s">
        <v>40</v>
      </c>
      <c r="K20" s="45"/>
      <c r="L20" s="10"/>
      <c r="M20" s="10"/>
      <c r="N20" s="10"/>
      <c r="O20" s="10"/>
    </row>
    <row r="21" spans="1:15" ht="78" customHeight="1" x14ac:dyDescent="0.3">
      <c r="A21" s="11" t="s">
        <v>213</v>
      </c>
      <c r="B21" s="4" t="s">
        <v>27</v>
      </c>
      <c r="C21" s="47" t="s">
        <v>714</v>
      </c>
      <c r="D21" s="43"/>
      <c r="E21" s="43"/>
      <c r="F21" s="43"/>
      <c r="G21" s="43"/>
      <c r="H21" s="43"/>
      <c r="I21" s="44"/>
      <c r="J21" s="45" t="s">
        <v>41</v>
      </c>
      <c r="K21" s="45"/>
      <c r="L21" s="10"/>
      <c r="M21" s="10"/>
      <c r="N21" s="10"/>
      <c r="O21" s="10"/>
    </row>
    <row r="22" spans="1:15" ht="62.25" customHeight="1" x14ac:dyDescent="0.3">
      <c r="A22" s="11" t="s">
        <v>214</v>
      </c>
      <c r="B22" s="52" t="s">
        <v>28</v>
      </c>
      <c r="C22" s="47" t="s">
        <v>723</v>
      </c>
      <c r="D22" s="43"/>
      <c r="E22" s="43"/>
      <c r="F22" s="43"/>
      <c r="G22" s="43"/>
      <c r="H22" s="43"/>
      <c r="I22" s="44"/>
      <c r="J22" s="45" t="s">
        <v>217</v>
      </c>
      <c r="K22" s="45"/>
      <c r="L22" s="10"/>
      <c r="M22" s="10"/>
      <c r="N22" s="10"/>
      <c r="O22" s="10"/>
    </row>
    <row r="23" spans="1:15" ht="62.25" customHeight="1" x14ac:dyDescent="0.3">
      <c r="A23" s="11" t="s">
        <v>215</v>
      </c>
      <c r="B23" s="52"/>
      <c r="C23" s="47" t="s">
        <v>724</v>
      </c>
      <c r="D23" s="43"/>
      <c r="E23" s="43"/>
      <c r="F23" s="43"/>
      <c r="G23" s="43"/>
      <c r="H23" s="43"/>
      <c r="I23" s="44"/>
      <c r="J23" s="45" t="s">
        <v>218</v>
      </c>
      <c r="K23" s="45"/>
      <c r="L23" s="10"/>
      <c r="M23" s="10"/>
      <c r="N23" s="10"/>
      <c r="O23" s="10"/>
    </row>
    <row r="24" spans="1:15" ht="62.25" customHeight="1" x14ac:dyDescent="0.3">
      <c r="A24" s="11" t="s">
        <v>216</v>
      </c>
      <c r="B24" s="52"/>
      <c r="C24" s="47" t="s">
        <v>725</v>
      </c>
      <c r="D24" s="43"/>
      <c r="E24" s="43"/>
      <c r="F24" s="43"/>
      <c r="G24" s="43"/>
      <c r="H24" s="43"/>
      <c r="I24" s="44"/>
      <c r="J24" s="45" t="s">
        <v>219</v>
      </c>
      <c r="K24" s="45"/>
      <c r="L24" s="10"/>
      <c r="M24" s="10"/>
      <c r="N24" s="10"/>
      <c r="O24" s="10"/>
    </row>
    <row r="25" spans="1:15" ht="83.25" customHeight="1" x14ac:dyDescent="0.3">
      <c r="A25" s="11" t="s">
        <v>220</v>
      </c>
      <c r="B25" s="6" t="s">
        <v>29</v>
      </c>
      <c r="C25" s="47" t="s">
        <v>726</v>
      </c>
      <c r="D25" s="43"/>
      <c r="E25" s="43"/>
      <c r="F25" s="43"/>
      <c r="G25" s="43"/>
      <c r="H25" s="43"/>
      <c r="I25" s="44"/>
      <c r="J25" s="45" t="s">
        <v>45</v>
      </c>
      <c r="K25" s="45"/>
      <c r="L25" s="10"/>
      <c r="M25" s="10"/>
      <c r="N25" s="10"/>
      <c r="O25" s="10"/>
    </row>
    <row r="26" spans="1:15" ht="47.25" customHeight="1" x14ac:dyDescent="0.3">
      <c r="A26" s="11" t="s">
        <v>225</v>
      </c>
      <c r="B26" s="6" t="s">
        <v>46</v>
      </c>
      <c r="C26" s="47" t="s">
        <v>727</v>
      </c>
      <c r="D26" s="43"/>
      <c r="E26" s="43"/>
      <c r="F26" s="43"/>
      <c r="G26" s="43"/>
      <c r="H26" s="43"/>
      <c r="I26" s="44"/>
      <c r="J26" s="45" t="s">
        <v>519</v>
      </c>
      <c r="K26" s="45"/>
      <c r="L26" s="10"/>
      <c r="M26" s="10"/>
      <c r="N26" s="10"/>
      <c r="O26" s="10"/>
    </row>
    <row r="27" spans="1:15" ht="29.25" customHeight="1" x14ac:dyDescent="0.3">
      <c r="A27" s="11" t="s">
        <v>221</v>
      </c>
      <c r="B27" s="4" t="s">
        <v>26</v>
      </c>
      <c r="C27" s="43" t="s">
        <v>48</v>
      </c>
      <c r="D27" s="43"/>
      <c r="E27" s="43"/>
      <c r="F27" s="43"/>
      <c r="G27" s="43"/>
      <c r="H27" s="43"/>
      <c r="I27" s="44"/>
      <c r="J27" s="45" t="s">
        <v>48</v>
      </c>
      <c r="K27" s="45"/>
      <c r="L27" s="10"/>
      <c r="M27" s="10"/>
      <c r="N27" s="10"/>
      <c r="O27" s="10"/>
    </row>
    <row r="28" spans="1:15" ht="218.25" customHeight="1" x14ac:dyDescent="0.3">
      <c r="A28" s="11" t="s">
        <v>739</v>
      </c>
      <c r="B28" s="41" t="s">
        <v>227</v>
      </c>
      <c r="C28" s="53" t="s">
        <v>629</v>
      </c>
      <c r="D28" s="54"/>
      <c r="E28" s="54"/>
      <c r="F28" s="54"/>
      <c r="G28" s="54"/>
      <c r="H28" s="54"/>
      <c r="I28" s="55"/>
      <c r="J28" s="45" t="s">
        <v>228</v>
      </c>
      <c r="K28" s="45"/>
      <c r="L28" s="10"/>
      <c r="M28" s="10"/>
      <c r="N28" s="10"/>
      <c r="O28" s="10"/>
    </row>
    <row r="29" spans="1:15" ht="218.25" customHeight="1" x14ac:dyDescent="0.3">
      <c r="A29" s="11" t="s">
        <v>740</v>
      </c>
      <c r="B29" s="77" t="s">
        <v>741</v>
      </c>
      <c r="C29" s="47"/>
      <c r="D29" s="43"/>
      <c r="E29" s="43"/>
      <c r="F29" s="43"/>
      <c r="G29" s="43"/>
      <c r="H29" s="43"/>
      <c r="I29" s="44"/>
      <c r="J29" s="45" t="s">
        <v>742</v>
      </c>
      <c r="K29" s="45"/>
      <c r="L29" s="10"/>
      <c r="M29" s="10"/>
      <c r="N29" s="10"/>
      <c r="O29" s="10"/>
    </row>
    <row r="30" spans="1:15" ht="218.25" customHeight="1" x14ac:dyDescent="0.3">
      <c r="A30" s="11" t="s">
        <v>743</v>
      </c>
      <c r="B30" s="77" t="s">
        <v>744</v>
      </c>
      <c r="C30" s="47"/>
      <c r="D30" s="43"/>
      <c r="E30" s="43"/>
      <c r="F30" s="43"/>
      <c r="G30" s="43"/>
      <c r="H30" s="43"/>
      <c r="I30" s="44"/>
      <c r="J30" s="45" t="s">
        <v>745</v>
      </c>
      <c r="K30" s="45"/>
      <c r="L30" s="10"/>
      <c r="M30" s="10"/>
      <c r="N30" s="10"/>
      <c r="O30" s="10"/>
    </row>
    <row r="31" spans="1:15" ht="29.25" customHeight="1" x14ac:dyDescent="0.3">
      <c r="A31" s="15" t="s">
        <v>495</v>
      </c>
      <c r="B31" s="33" t="s">
        <v>496</v>
      </c>
      <c r="C31" s="43" t="str">
        <f>F78&amp;"시간 (100%)"</f>
        <v>1시간 (100%)</v>
      </c>
      <c r="D31" s="43"/>
      <c r="E31" s="43"/>
      <c r="F31" s="43"/>
      <c r="G31" s="43"/>
      <c r="H31" s="43"/>
      <c r="I31" s="43"/>
      <c r="J31" s="40"/>
      <c r="K31" s="40"/>
      <c r="L31" s="10"/>
      <c r="M31" s="10"/>
      <c r="N31" s="10"/>
      <c r="O31" s="10"/>
    </row>
    <row r="32" spans="1:15" ht="22.5" customHeight="1" x14ac:dyDescent="0.3">
      <c r="A32" s="15" t="s">
        <v>499</v>
      </c>
      <c r="B32" s="33" t="s">
        <v>497</v>
      </c>
      <c r="C32" s="43">
        <f>COUNTA(G82:G90)</f>
        <v>1</v>
      </c>
      <c r="D32" s="43"/>
      <c r="E32" s="43"/>
      <c r="F32" s="43"/>
      <c r="G32" s="43"/>
      <c r="H32" s="43"/>
      <c r="I32" s="43"/>
      <c r="J32" s="56"/>
      <c r="K32" s="57"/>
    </row>
    <row r="33" spans="1:11" ht="22.5" customHeight="1" x14ac:dyDescent="0.3">
      <c r="A33" s="15" t="s">
        <v>500</v>
      </c>
      <c r="B33" s="33" t="s">
        <v>498</v>
      </c>
      <c r="C33" s="43">
        <f>COUNTA(G92:G100)</f>
        <v>0</v>
      </c>
      <c r="D33" s="43"/>
      <c r="E33" s="43"/>
      <c r="F33" s="43"/>
      <c r="G33" s="43"/>
      <c r="H33" s="43"/>
      <c r="I33" s="43"/>
      <c r="J33" s="56"/>
      <c r="K33" s="57"/>
    </row>
    <row r="34" spans="1:11" ht="22.5" customHeight="1" x14ac:dyDescent="0.3">
      <c r="A34" s="15" t="s">
        <v>504</v>
      </c>
      <c r="B34" s="33" t="s">
        <v>501</v>
      </c>
      <c r="C34" s="43">
        <f>COUNTA(G102:G110)</f>
        <v>0</v>
      </c>
      <c r="D34" s="43"/>
      <c r="E34" s="43"/>
      <c r="F34" s="43"/>
      <c r="G34" s="43"/>
      <c r="H34" s="43"/>
      <c r="I34" s="43"/>
      <c r="J34" s="56"/>
      <c r="K34" s="57"/>
    </row>
    <row r="35" spans="1:11" ht="22.5" customHeight="1" x14ac:dyDescent="0.3">
      <c r="A35" s="15" t="s">
        <v>505</v>
      </c>
      <c r="B35" s="33" t="s">
        <v>502</v>
      </c>
      <c r="C35" s="43">
        <f>COUNTA(G112:G120)</f>
        <v>0</v>
      </c>
      <c r="D35" s="43"/>
      <c r="E35" s="43"/>
      <c r="F35" s="43"/>
      <c r="G35" s="43"/>
      <c r="H35" s="43"/>
      <c r="I35" s="43"/>
      <c r="J35" s="56"/>
      <c r="K35" s="57"/>
    </row>
    <row r="36" spans="1:11" ht="22.5" customHeight="1" x14ac:dyDescent="0.3">
      <c r="A36" s="15" t="s">
        <v>506</v>
      </c>
      <c r="B36" s="33" t="s">
        <v>503</v>
      </c>
      <c r="C36" s="43">
        <f>COUNTA(G122:G130)</f>
        <v>0</v>
      </c>
      <c r="D36" s="43"/>
      <c r="E36" s="43"/>
      <c r="F36" s="43"/>
      <c r="G36" s="43"/>
      <c r="H36" s="43"/>
      <c r="I36" s="43"/>
      <c r="J36" s="56"/>
      <c r="K36" s="57"/>
    </row>
    <row r="37" spans="1:11" ht="69" customHeight="1" x14ac:dyDescent="0.3">
      <c r="A37" s="11" t="s">
        <v>507</v>
      </c>
      <c r="B37" s="33" t="s">
        <v>514</v>
      </c>
      <c r="C37" s="43" t="str">
        <f>K82</f>
        <v>의료기기 품질·임상·공정 데이터의 구조를 이해하고 직무별 데이터 흐름을 분석한 후, ISO 13485·MFDS·FDA 기준을 반영한 통합 KPI 체계를 설계하고 규제 기반 의사결정 구조를 수립한다. 코드작성 없이 ChatGPT·Claude Code를 활용하여 Python/Pandas 기반 데이터 정제·구조화를 실습하고, 바이브코딩을 통해 KPI 자동 계산 코드를 생성·검증하는 실습을 진행한다.</v>
      </c>
      <c r="D37" s="43"/>
      <c r="E37" s="43"/>
      <c r="F37" s="43"/>
      <c r="G37" s="43"/>
      <c r="H37" s="43"/>
      <c r="I37" s="43"/>
      <c r="J37" s="56"/>
      <c r="K37" s="57"/>
    </row>
    <row r="38" spans="1:11" ht="69" customHeight="1" x14ac:dyDescent="0.3">
      <c r="A38" s="11" t="s">
        <v>508</v>
      </c>
      <c r="B38" s="33" t="s">
        <v>515</v>
      </c>
      <c r="C38" s="43" t="str">
        <f>K92</f>
        <v>ChatGPT를 활용하여 Claude Code·Streamlit 기반 KPI 대시보드를 설계하고 실제 앱을 구현하는 실습을 진행한다. Claude Code·Streamlit·Pandas로 부서 통합 데이터 시각화와 필터·드릴다운·동적 차트 등 인터랙티브 기능을 구현한 후, ChatGPT·Claude Code를 활용하여 GPT 기반 KPI 자동 해석 코멘트 생성과 분석 자동화를 실습하여 대시보드에 AI 해석 기능을 통합한다.</v>
      </c>
      <c r="D38" s="43"/>
      <c r="E38" s="43"/>
      <c r="F38" s="43"/>
      <c r="G38" s="43"/>
      <c r="H38" s="43"/>
      <c r="I38" s="43"/>
      <c r="J38" s="56"/>
      <c r="K38" s="57"/>
    </row>
    <row r="39" spans="1:11" ht="69" customHeight="1" x14ac:dyDescent="0.3">
      <c r="A39" s="11" t="s">
        <v>509</v>
      </c>
      <c r="B39" s="33" t="s">
        <v>516</v>
      </c>
      <c r="C39" s="43" t="str">
        <f>K102</f>
        <v>데이터 수집부터 정제→KPI 계산→시각화→AI 코멘트→자동 리포트까지 연결되는 통합 AI 워크플로를 설계하고, ChatGPT API·Claude API를 연동하여 Claude Code·Python·Streamlit 기반 통합 시스템을 구축하는 실습을 진행한다. 3일간의 학습 내용을 종합하여 KPI 대시보드 앱, AI 자동 리포트 시스템, 통합 워크플로를 최종 산출물로 완성하고 팀별 발표를 통해 결과를 공유한다.</v>
      </c>
      <c r="D39" s="43"/>
      <c r="E39" s="43"/>
      <c r="F39" s="43"/>
      <c r="G39" s="43"/>
      <c r="H39" s="43"/>
      <c r="I39" s="43"/>
      <c r="J39" s="56"/>
      <c r="K39" s="57"/>
    </row>
    <row r="40" spans="1:11" ht="69" customHeight="1" x14ac:dyDescent="0.3">
      <c r="A40" s="11" t="s">
        <v>510</v>
      </c>
      <c r="B40" s="33" t="s">
        <v>517</v>
      </c>
      <c r="C40" s="43">
        <f>K112</f>
        <v>0</v>
      </c>
      <c r="D40" s="43"/>
      <c r="E40" s="43"/>
      <c r="F40" s="43"/>
      <c r="G40" s="43"/>
      <c r="H40" s="43"/>
      <c r="I40" s="43"/>
      <c r="J40" s="56"/>
      <c r="K40" s="57"/>
    </row>
    <row r="41" spans="1:11" ht="69" customHeight="1" x14ac:dyDescent="0.3">
      <c r="A41" s="11" t="s">
        <v>511</v>
      </c>
      <c r="B41" s="33" t="s">
        <v>518</v>
      </c>
      <c r="C41" s="43">
        <f>K122</f>
        <v>0</v>
      </c>
      <c r="D41" s="43"/>
      <c r="E41" s="43"/>
      <c r="F41" s="43"/>
      <c r="G41" s="43"/>
      <c r="H41" s="43"/>
      <c r="I41" s="43"/>
      <c r="J41" s="56"/>
      <c r="K41" s="57"/>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f>VLOOKUP(J46,통합!$A$2:$I$43,6,FALSE)</f>
        <v>4</v>
      </c>
      <c r="E46" s="31" t="str">
        <f>VLOOKUP(J46,통합!$A$2:$I$43,8,FALSE)</f>
        <v>01</v>
      </c>
      <c r="F46" s="8">
        <f>IF(COUNTIF($D$81:$D$130,D46)=0,"",COUNTIF($D$81:$D$130,D46))</f>
        <v>1</v>
      </c>
      <c r="G46" s="13" t="s">
        <v>50</v>
      </c>
      <c r="H46" s="13" t="s">
        <v>51</v>
      </c>
      <c r="I46" s="8">
        <f>IF(COUNTIF($G$81:$G$130,G46)=0,"",COUNTIF($G$81:$G$130,G46))</f>
        <v>1</v>
      </c>
      <c r="J46" s="11" t="s">
        <v>211</v>
      </c>
    </row>
    <row r="47" spans="1:11" ht="22.5" customHeight="1" x14ac:dyDescent="0.3">
      <c r="C47" s="9">
        <f t="shared" ref="C47:C77" si="0">IFERROR(G47,"")</f>
        <v>0</v>
      </c>
      <c r="D47" s="31"/>
      <c r="E47" s="31"/>
      <c r="F47" s="8" t="str">
        <f t="shared" ref="F47:F77" si="1">IF(COUNTIF($D$81:$D$130,D47)=0,"",COUNTIF($D$81:$D$130,D47))</f>
        <v/>
      </c>
      <c r="G47" s="13"/>
      <c r="H47" s="13"/>
      <c r="I47" s="8" t="str">
        <f t="shared" ref="I47:I77" si="2">IF(COUNTIF($G$81:$G$130,G47)=0,"",COUNTIF($G$81:$G$130,G47))</f>
        <v/>
      </c>
    </row>
    <row r="48" spans="1:11" ht="22.5" customHeight="1" x14ac:dyDescent="0.3">
      <c r="C48" s="9">
        <f t="shared" si="0"/>
        <v>0</v>
      </c>
      <c r="D48" s="31"/>
      <c r="E48" s="31"/>
      <c r="F48" s="8" t="str">
        <f t="shared" si="1"/>
        <v/>
      </c>
      <c r="G48" s="14"/>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 t="shared" si="2"/>
        <v/>
      </c>
    </row>
    <row r="65" spans="3:9" ht="22.5" customHeight="1" x14ac:dyDescent="0.3">
      <c r="C65" s="9">
        <f t="shared" si="0"/>
        <v>0</v>
      </c>
      <c r="D65" s="31"/>
      <c r="E65" s="31"/>
      <c r="F65" s="8" t="str">
        <f t="shared" si="1"/>
        <v/>
      </c>
      <c r="G65" s="13"/>
      <c r="H65" s="13"/>
      <c r="I65" s="8" t="str">
        <f t="shared" si="2"/>
        <v/>
      </c>
    </row>
    <row r="66" spans="3:9" ht="22.5" customHeight="1" x14ac:dyDescent="0.3">
      <c r="C66" s="9">
        <f t="shared" si="0"/>
        <v>0</v>
      </c>
      <c r="D66" s="31"/>
      <c r="E66" s="31"/>
      <c r="F66" s="8" t="str">
        <f t="shared" si="1"/>
        <v/>
      </c>
      <c r="G66" s="13"/>
      <c r="H66" s="13"/>
      <c r="I66" s="8" t="str">
        <f>IF(COUNTIF($G$81:$G$130,#REF!)=0,"",COUNTIF($G$81:$G$130,#REF!))</f>
        <v/>
      </c>
    </row>
    <row r="67" spans="3:9" ht="22.5" customHeight="1" x14ac:dyDescent="0.3">
      <c r="C67" s="9">
        <f t="shared" si="0"/>
        <v>0</v>
      </c>
      <c r="D67" s="31"/>
      <c r="E67" s="31"/>
      <c r="F67" s="8" t="str">
        <f t="shared" si="1"/>
        <v/>
      </c>
      <c r="H67" s="13"/>
      <c r="I67" s="8" t="str">
        <f>IF(COUNTIF($G$81:$G$130,G66)=0,"",COUNTIF($G$81:$G$130,G66))</f>
        <v/>
      </c>
    </row>
    <row r="68" spans="3:9" ht="22.5" customHeight="1" x14ac:dyDescent="0.3">
      <c r="C68" s="9">
        <f t="shared" si="0"/>
        <v>0</v>
      </c>
      <c r="D68" s="31"/>
      <c r="E68" s="31"/>
      <c r="F68" s="8" t="str">
        <f t="shared" si="1"/>
        <v/>
      </c>
      <c r="G68" s="13"/>
      <c r="H68" s="13"/>
      <c r="I68" s="8" t="str">
        <f t="shared" si="2"/>
        <v/>
      </c>
    </row>
    <row r="69" spans="3:9" ht="22.5" customHeight="1" x14ac:dyDescent="0.3">
      <c r="C69" s="9">
        <f t="shared" si="0"/>
        <v>0</v>
      </c>
      <c r="D69" s="31"/>
      <c r="E69" s="31"/>
      <c r="F69" s="8" t="str">
        <f t="shared" si="1"/>
        <v/>
      </c>
      <c r="G69" s="13"/>
      <c r="H69" s="13"/>
      <c r="I69" s="8" t="str">
        <f t="shared" si="2"/>
        <v/>
      </c>
    </row>
    <row r="70" spans="3:9" ht="22.5" customHeight="1" x14ac:dyDescent="0.3">
      <c r="C70" s="9">
        <f t="shared" si="0"/>
        <v>0</v>
      </c>
      <c r="D70" s="31"/>
      <c r="E70" s="31"/>
      <c r="F70" s="8" t="str">
        <f t="shared" si="1"/>
        <v/>
      </c>
      <c r="G70" s="13"/>
      <c r="H70" s="13"/>
      <c r="I70" s="8" t="str">
        <f t="shared" si="2"/>
        <v/>
      </c>
    </row>
    <row r="71" spans="3:9" ht="22.5" customHeight="1" x14ac:dyDescent="0.3">
      <c r="C71" s="9">
        <f t="shared" si="0"/>
        <v>0</v>
      </c>
      <c r="D71" s="31"/>
      <c r="E71" s="31"/>
      <c r="F71" s="8" t="str">
        <f t="shared" si="1"/>
        <v/>
      </c>
      <c r="G71" s="13"/>
      <c r="H71" s="13"/>
      <c r="I71" s="8" t="str">
        <f t="shared" si="2"/>
        <v/>
      </c>
    </row>
    <row r="72" spans="3:9" ht="22.5" customHeight="1" x14ac:dyDescent="0.3">
      <c r="C72" s="9">
        <f t="shared" si="0"/>
        <v>0</v>
      </c>
      <c r="D72" s="31"/>
      <c r="E72" s="31"/>
      <c r="F72" s="8" t="str">
        <f t="shared" si="1"/>
        <v/>
      </c>
      <c r="G72" s="13"/>
      <c r="H72" s="13"/>
      <c r="I72" s="8" t="str">
        <f t="shared" si="2"/>
        <v/>
      </c>
    </row>
    <row r="73" spans="3:9" ht="22.5" customHeight="1" x14ac:dyDescent="0.3">
      <c r="C73" s="9">
        <f t="shared" si="0"/>
        <v>0</v>
      </c>
      <c r="D73" s="31"/>
      <c r="E73" s="31"/>
      <c r="F73" s="8" t="str">
        <f t="shared" si="1"/>
        <v/>
      </c>
      <c r="G73" s="13"/>
      <c r="H73" s="13"/>
      <c r="I73" s="8" t="str">
        <f t="shared" si="2"/>
        <v/>
      </c>
    </row>
    <row r="74" spans="3:9" ht="22.5" customHeight="1" x14ac:dyDescent="0.3">
      <c r="C74" s="9">
        <f t="shared" si="0"/>
        <v>0</v>
      </c>
      <c r="D74" s="31"/>
      <c r="E74" s="31"/>
      <c r="F74" s="8" t="str">
        <f t="shared" si="1"/>
        <v/>
      </c>
      <c r="G74" s="13"/>
      <c r="H74" s="13"/>
      <c r="I74" s="8" t="str">
        <f t="shared" si="2"/>
        <v/>
      </c>
    </row>
    <row r="75" spans="3:9" ht="22.5" customHeight="1" x14ac:dyDescent="0.3">
      <c r="C75" s="9">
        <f t="shared" si="0"/>
        <v>0</v>
      </c>
      <c r="D75" s="31"/>
      <c r="E75" s="31"/>
      <c r="F75" s="8" t="str">
        <f t="shared" si="1"/>
        <v/>
      </c>
      <c r="G75" s="13"/>
      <c r="H75" s="13"/>
      <c r="I75" s="8" t="str">
        <f t="shared" si="2"/>
        <v/>
      </c>
    </row>
    <row r="76" spans="3:9" ht="22.5" customHeight="1" x14ac:dyDescent="0.3">
      <c r="C76" s="9">
        <f t="shared" si="0"/>
        <v>0</v>
      </c>
      <c r="D76" s="31"/>
      <c r="E76" s="31"/>
      <c r="F76" s="8" t="str">
        <f t="shared" si="1"/>
        <v/>
      </c>
      <c r="G76" s="13"/>
      <c r="H76" s="13"/>
      <c r="I76" s="8" t="str">
        <f t="shared" si="2"/>
        <v/>
      </c>
    </row>
    <row r="77" spans="3:9" ht="22.5" customHeight="1" x14ac:dyDescent="0.3">
      <c r="C77" s="9">
        <f t="shared" si="0"/>
        <v>0</v>
      </c>
      <c r="D77" s="32"/>
      <c r="E77" s="32"/>
      <c r="F77" s="29" t="str">
        <f t="shared" si="1"/>
        <v/>
      </c>
      <c r="G77" s="28"/>
      <c r="H77" s="28"/>
      <c r="I77" s="29" t="str">
        <f t="shared" si="2"/>
        <v/>
      </c>
    </row>
    <row r="78" spans="3:9" ht="22.5" customHeight="1" x14ac:dyDescent="0.3">
      <c r="C78" s="8" t="s">
        <v>173</v>
      </c>
      <c r="D78" s="13"/>
      <c r="E78" s="13"/>
      <c r="F78" s="30">
        <f>SUM(F46:F77)</f>
        <v>1</v>
      </c>
      <c r="G78" s="13"/>
      <c r="H78" s="13"/>
      <c r="I78" s="30">
        <f>SUM(I46:I77)</f>
        <v>1</v>
      </c>
    </row>
    <row r="79" spans="3:9" ht="22.5" customHeight="1" x14ac:dyDescent="0.3">
      <c r="C79" s="8"/>
      <c r="D79" s="13"/>
      <c r="E79" s="13"/>
      <c r="F79" s="8"/>
      <c r="G79" s="13"/>
      <c r="H79" s="13"/>
      <c r="I79" s="8"/>
    </row>
    <row r="80" spans="3:9" ht="22.5" customHeight="1" x14ac:dyDescent="0.3"/>
    <row r="81" spans="2:11" ht="22.5" customHeight="1" x14ac:dyDescent="0.3">
      <c r="B81" s="58" t="s">
        <v>9</v>
      </c>
      <c r="C81" s="5" t="s">
        <v>8</v>
      </c>
      <c r="D81" s="5" t="s">
        <v>10</v>
      </c>
      <c r="E81" s="61" t="s">
        <v>13</v>
      </c>
      <c r="F81" s="62"/>
      <c r="G81" s="12" t="s">
        <v>11</v>
      </c>
      <c r="H81" s="61" t="s">
        <v>12</v>
      </c>
      <c r="I81" s="62"/>
      <c r="J81" s="12" t="s">
        <v>14</v>
      </c>
      <c r="K81" s="12" t="s">
        <v>31</v>
      </c>
    </row>
    <row r="82" spans="2:11" ht="22.5" customHeight="1" x14ac:dyDescent="0.3">
      <c r="B82" s="59"/>
      <c r="C82" s="1" t="s">
        <v>0</v>
      </c>
      <c r="D82" s="8">
        <f>IF(VLOOKUP(G82,$C$46:$E$77,2,FALSE)="","",VLOOKUP(G82,$C$46:$E$77,2,FALSE))</f>
        <v>4</v>
      </c>
      <c r="E82" s="63" t="str">
        <f>IF(VLOOKUP(G82,$C$46:$E$77,3,FALSE)="","",VLOOKUP(G82,$C$46:$E$77,3,FALSE))</f>
        <v>01</v>
      </c>
      <c r="F82" s="64"/>
      <c r="G82" s="13" t="s">
        <v>50</v>
      </c>
      <c r="H82" s="63" t="str">
        <f>IFERROR(VLOOKUP(G82,$G$46:$H$77,2,FALSE),"")</f>
        <v>하드웨어 분석하기</v>
      </c>
      <c r="I82" s="64"/>
      <c r="J82" s="15" t="s">
        <v>630</v>
      </c>
      <c r="K82" s="53" t="s">
        <v>736</v>
      </c>
    </row>
    <row r="83" spans="2:11" ht="22.5" customHeight="1" x14ac:dyDescent="0.3">
      <c r="B83" s="59"/>
      <c r="C83" s="1" t="s">
        <v>1</v>
      </c>
      <c r="D83" s="8" t="str">
        <f t="shared" ref="D83:D84" si="3">IF(VLOOKUP(G83,$C$46:$E$77,2,FALSE)="","",VLOOKUP(G83,$C$46:$E$77,2,FALSE))</f>
        <v/>
      </c>
      <c r="E83" s="63" t="str">
        <f t="shared" ref="E83:E84" si="4">IF(VLOOKUP(G83,$C$46:$E$77,3,FALSE)="","",VLOOKUP(G83,$C$46:$E$77,3,FALSE))</f>
        <v/>
      </c>
      <c r="F83" s="64"/>
      <c r="G83" s="13"/>
      <c r="H83" s="63" t="str">
        <f t="shared" ref="H83:H90" si="5">IFERROR(VLOOKUP(G83,$G$46:$H$77,2,FALSE),"")</f>
        <v/>
      </c>
      <c r="I83" s="64"/>
      <c r="J83" s="15" t="s">
        <v>631</v>
      </c>
      <c r="K83" s="65"/>
    </row>
    <row r="84" spans="2:11" ht="22.5" customHeight="1" x14ac:dyDescent="0.3">
      <c r="B84" s="59"/>
      <c r="C84" s="1" t="s">
        <v>2</v>
      </c>
      <c r="D84" s="8" t="str">
        <f t="shared" si="3"/>
        <v/>
      </c>
      <c r="E84" s="63" t="str">
        <f t="shared" si="4"/>
        <v/>
      </c>
      <c r="F84" s="64"/>
      <c r="G84" s="13"/>
      <c r="H84" s="63" t="str">
        <f t="shared" si="5"/>
        <v/>
      </c>
      <c r="I84" s="64"/>
      <c r="J84" s="15" t="s">
        <v>715</v>
      </c>
      <c r="K84" s="65"/>
    </row>
    <row r="85" spans="2:11" ht="22.5" customHeight="1" x14ac:dyDescent="0.3">
      <c r="B85" s="59"/>
      <c r="C85" s="2" t="s">
        <v>18</v>
      </c>
      <c r="D85" s="7"/>
      <c r="E85" s="67"/>
      <c r="F85" s="68"/>
      <c r="G85" s="17"/>
      <c r="H85" s="67"/>
      <c r="I85" s="68"/>
      <c r="J85" s="16"/>
      <c r="K85" s="65"/>
    </row>
    <row r="86" spans="2:11" ht="22.5" customHeight="1" x14ac:dyDescent="0.3">
      <c r="B86" s="59"/>
      <c r="C86" s="1" t="s">
        <v>3</v>
      </c>
      <c r="D86" s="8" t="str">
        <f>IF(VLOOKUP(G86,$C$46:$E$77,2,FALSE)="","",VLOOKUP(G86,$C$46:$E$77,2,FALSE))</f>
        <v/>
      </c>
      <c r="E86" s="63" t="str">
        <f>IF(VLOOKUP(G86,$C$46:$E$77,3,FALSE)="","",VLOOKUP(G86,$C$46:$E$77,3,FALSE))</f>
        <v/>
      </c>
      <c r="F86" s="64"/>
      <c r="G86" s="13"/>
      <c r="H86" s="63" t="str">
        <f t="shared" si="5"/>
        <v/>
      </c>
      <c r="I86" s="64"/>
      <c r="J86" s="15" t="s">
        <v>716</v>
      </c>
      <c r="K86" s="65"/>
    </row>
    <row r="87" spans="2:11" ht="22.5" customHeight="1" x14ac:dyDescent="0.3">
      <c r="B87" s="59"/>
      <c r="C87" s="1" t="s">
        <v>4</v>
      </c>
      <c r="D87" s="8" t="str">
        <f t="shared" ref="D87:D90" si="6">IF(VLOOKUP(G87,$C$46:$E$77,2,FALSE)="","",VLOOKUP(G87,$C$46:$E$77,2,FALSE))</f>
        <v/>
      </c>
      <c r="E87" s="63" t="str">
        <f t="shared" ref="E87:E90" si="7">IF(VLOOKUP(G87,$C$46:$E$77,3,FALSE)="","",VLOOKUP(G87,$C$46:$E$77,3,FALSE))</f>
        <v/>
      </c>
      <c r="F87" s="64"/>
      <c r="G87" s="13"/>
      <c r="H87" s="63" t="str">
        <f t="shared" si="5"/>
        <v/>
      </c>
      <c r="I87" s="64"/>
      <c r="J87" s="15" t="s">
        <v>728</v>
      </c>
      <c r="K87" s="65"/>
    </row>
    <row r="88" spans="2:11" ht="22.5" customHeight="1" x14ac:dyDescent="0.3">
      <c r="B88" s="59"/>
      <c r="C88" s="1" t="s">
        <v>5</v>
      </c>
      <c r="D88" s="8" t="str">
        <f t="shared" si="6"/>
        <v/>
      </c>
      <c r="E88" s="63" t="str">
        <f t="shared" si="7"/>
        <v/>
      </c>
      <c r="F88" s="64"/>
      <c r="G88" s="13"/>
      <c r="H88" s="63" t="str">
        <f t="shared" si="5"/>
        <v/>
      </c>
      <c r="I88" s="64"/>
      <c r="J88" s="15" t="s">
        <v>632</v>
      </c>
      <c r="K88" s="65"/>
    </row>
    <row r="89" spans="2:11" ht="22.5" customHeight="1" x14ac:dyDescent="0.3">
      <c r="B89" s="59"/>
      <c r="C89" s="1" t="s">
        <v>6</v>
      </c>
      <c r="D89" s="8" t="str">
        <f t="shared" si="6"/>
        <v/>
      </c>
      <c r="E89" s="63" t="str">
        <f t="shared" si="7"/>
        <v/>
      </c>
      <c r="F89" s="64"/>
      <c r="G89" s="13"/>
      <c r="H89" s="63" t="str">
        <f t="shared" si="5"/>
        <v/>
      </c>
      <c r="I89" s="64"/>
      <c r="J89" s="15"/>
      <c r="K89" s="65"/>
    </row>
    <row r="90" spans="2:11" ht="22.5" customHeight="1" x14ac:dyDescent="0.3">
      <c r="B90" s="60"/>
      <c r="C90" s="1" t="s">
        <v>7</v>
      </c>
      <c r="D90" s="8" t="str">
        <f t="shared" si="6"/>
        <v/>
      </c>
      <c r="E90" s="63" t="str">
        <f t="shared" si="7"/>
        <v/>
      </c>
      <c r="F90" s="64"/>
      <c r="G90" s="13"/>
      <c r="H90" s="63" t="str">
        <f t="shared" si="5"/>
        <v/>
      </c>
      <c r="I90" s="64"/>
      <c r="J90" s="15"/>
      <c r="K90" s="66"/>
    </row>
    <row r="91" spans="2:11" ht="22.5" customHeight="1" x14ac:dyDescent="0.3">
      <c r="B91" s="58" t="s">
        <v>16</v>
      </c>
      <c r="C91" s="5" t="s">
        <v>8</v>
      </c>
      <c r="D91" s="5" t="s">
        <v>10</v>
      </c>
      <c r="E91" s="61" t="s">
        <v>13</v>
      </c>
      <c r="F91" s="62"/>
      <c r="G91" s="12" t="s">
        <v>11</v>
      </c>
      <c r="H91" s="61" t="s">
        <v>12</v>
      </c>
      <c r="I91" s="62"/>
      <c r="J91" s="12" t="s">
        <v>14</v>
      </c>
      <c r="K91" s="12" t="s">
        <v>32</v>
      </c>
    </row>
    <row r="92" spans="2:11" ht="22.5" customHeight="1" x14ac:dyDescent="0.3">
      <c r="B92" s="59"/>
      <c r="C92" s="1" t="s">
        <v>0</v>
      </c>
      <c r="D92" s="8" t="str">
        <f>IF(VLOOKUP(G92,$C$46:$E$77,2,FALSE)="","",VLOOKUP(G92,$C$46:$E$77,2,FALSE))</f>
        <v/>
      </c>
      <c r="E92" s="63" t="str">
        <f>IF(VLOOKUP(G92,$C$46:$E$77,3,FALSE)="","",VLOOKUP(G92,$C$46:$E$77,3,FALSE))</f>
        <v/>
      </c>
      <c r="F92" s="64"/>
      <c r="G92" s="13"/>
      <c r="H92" s="63" t="str">
        <f>IFERROR(VLOOKUP(G92,$G$46:$H$77,2,FALSE),"")</f>
        <v/>
      </c>
      <c r="I92" s="64"/>
      <c r="J92" s="15" t="s">
        <v>729</v>
      </c>
      <c r="K92" s="54" t="s">
        <v>737</v>
      </c>
    </row>
    <row r="93" spans="2:11" ht="22.5" customHeight="1" x14ac:dyDescent="0.3">
      <c r="B93" s="59"/>
      <c r="C93" s="1" t="s">
        <v>1</v>
      </c>
      <c r="D93" s="8" t="str">
        <f t="shared" ref="D93:D94" si="8">IF(VLOOKUP(G93,$C$46:$E$77,2,FALSE)="","",VLOOKUP(G93,$C$46:$E$77,2,FALSE))</f>
        <v/>
      </c>
      <c r="E93" s="63" t="str">
        <f t="shared" ref="E93:E94" si="9">IF(VLOOKUP(G93,$C$46:$E$77,3,FALSE)="","",VLOOKUP(G93,$C$46:$E$77,3,FALSE))</f>
        <v/>
      </c>
      <c r="F93" s="64"/>
      <c r="G93" s="13"/>
      <c r="H93" s="63" t="str">
        <f t="shared" ref="H93:H100" si="10">IFERROR(VLOOKUP(G93,$G$46:$H$77,2,FALSE),"")</f>
        <v/>
      </c>
      <c r="I93" s="64"/>
      <c r="J93" s="15" t="s">
        <v>730</v>
      </c>
      <c r="K93" s="65"/>
    </row>
    <row r="94" spans="2:11" ht="22.5" customHeight="1" x14ac:dyDescent="0.3">
      <c r="B94" s="59"/>
      <c r="C94" s="1" t="s">
        <v>2</v>
      </c>
      <c r="D94" s="8" t="str">
        <f t="shared" si="8"/>
        <v/>
      </c>
      <c r="E94" s="63" t="str">
        <f t="shared" si="9"/>
        <v/>
      </c>
      <c r="F94" s="64"/>
      <c r="G94" s="13"/>
      <c r="H94" s="63" t="str">
        <f t="shared" si="10"/>
        <v/>
      </c>
      <c r="I94" s="64"/>
      <c r="J94" s="15" t="s">
        <v>731</v>
      </c>
      <c r="K94" s="65"/>
    </row>
    <row r="95" spans="2:11" ht="22.5" customHeight="1" x14ac:dyDescent="0.3">
      <c r="B95" s="59"/>
      <c r="C95" s="2" t="s">
        <v>18</v>
      </c>
      <c r="D95" s="7"/>
      <c r="E95" s="67"/>
      <c r="F95" s="68"/>
      <c r="G95" s="17"/>
      <c r="H95" s="67"/>
      <c r="I95" s="68"/>
      <c r="J95" s="16"/>
      <c r="K95" s="65"/>
    </row>
    <row r="96" spans="2:11" ht="22.5" customHeight="1" x14ac:dyDescent="0.3">
      <c r="B96" s="59"/>
      <c r="C96" s="1" t="s">
        <v>3</v>
      </c>
      <c r="D96" s="8" t="str">
        <f>IF(VLOOKUP(G96,$C$46:$E$77,2,FALSE)="","",VLOOKUP(G96,$C$46:$E$77,2,FALSE))</f>
        <v/>
      </c>
      <c r="E96" s="63" t="str">
        <f>IF(VLOOKUP(G96,$C$46:$E$77,3,FALSE)="","",VLOOKUP(G96,$C$46:$E$77,3,FALSE))</f>
        <v/>
      </c>
      <c r="F96" s="64"/>
      <c r="G96" s="13"/>
      <c r="H96" s="63" t="str">
        <f t="shared" si="10"/>
        <v/>
      </c>
      <c r="I96" s="64"/>
      <c r="J96" s="15" t="s">
        <v>732</v>
      </c>
      <c r="K96" s="65"/>
    </row>
    <row r="97" spans="2:11" ht="22.5" customHeight="1" x14ac:dyDescent="0.3">
      <c r="B97" s="59"/>
      <c r="C97" s="1" t="s">
        <v>4</v>
      </c>
      <c r="D97" s="8" t="str">
        <f t="shared" ref="D97:D100" si="11">IF(VLOOKUP(G97,$C$46:$E$77,2,FALSE)="","",VLOOKUP(G97,$C$46:$E$77,2,FALSE))</f>
        <v/>
      </c>
      <c r="E97" s="63" t="str">
        <f t="shared" ref="E97:E100" si="12">IF(VLOOKUP(G97,$C$46:$E$77,3,FALSE)="","",VLOOKUP(G97,$C$46:$E$77,3,FALSE))</f>
        <v/>
      </c>
      <c r="F97" s="64"/>
      <c r="G97" s="13"/>
      <c r="H97" s="63" t="str">
        <f t="shared" si="10"/>
        <v/>
      </c>
      <c r="I97" s="64"/>
      <c r="J97" s="15" t="s">
        <v>733</v>
      </c>
      <c r="K97" s="65"/>
    </row>
    <row r="98" spans="2:11" ht="22.5" customHeight="1" x14ac:dyDescent="0.3">
      <c r="B98" s="59"/>
      <c r="C98" s="1" t="s">
        <v>5</v>
      </c>
      <c r="D98" s="8" t="str">
        <f t="shared" si="11"/>
        <v/>
      </c>
      <c r="E98" s="63" t="str">
        <f t="shared" si="12"/>
        <v/>
      </c>
      <c r="F98" s="64"/>
      <c r="G98" s="13"/>
      <c r="H98" s="63" t="str">
        <f t="shared" si="10"/>
        <v/>
      </c>
      <c r="I98" s="64"/>
      <c r="J98" s="15" t="s">
        <v>633</v>
      </c>
      <c r="K98" s="65"/>
    </row>
    <row r="99" spans="2:11" ht="22.5" customHeight="1" x14ac:dyDescent="0.3">
      <c r="B99" s="59"/>
      <c r="C99" s="1" t="s">
        <v>6</v>
      </c>
      <c r="D99" s="8" t="str">
        <f t="shared" si="11"/>
        <v/>
      </c>
      <c r="E99" s="63" t="str">
        <f t="shared" si="12"/>
        <v/>
      </c>
      <c r="F99" s="64"/>
      <c r="G99" s="13"/>
      <c r="H99" s="63" t="str">
        <f t="shared" si="10"/>
        <v/>
      </c>
      <c r="I99" s="64"/>
      <c r="J99" s="15"/>
      <c r="K99" s="65"/>
    </row>
    <row r="100" spans="2:11" ht="22.5" customHeight="1" x14ac:dyDescent="0.3">
      <c r="B100" s="60"/>
      <c r="C100" s="1" t="s">
        <v>7</v>
      </c>
      <c r="D100" s="8" t="str">
        <f t="shared" si="11"/>
        <v/>
      </c>
      <c r="E100" s="63" t="str">
        <f t="shared" si="12"/>
        <v/>
      </c>
      <c r="F100" s="64"/>
      <c r="G100" s="13"/>
      <c r="H100" s="63" t="str">
        <f t="shared" si="10"/>
        <v/>
      </c>
      <c r="I100" s="64"/>
      <c r="J100" s="15"/>
      <c r="K100" s="66"/>
    </row>
    <row r="101" spans="2:11" ht="22.5" customHeight="1" x14ac:dyDescent="0.3">
      <c r="B101" s="58" t="s">
        <v>17</v>
      </c>
      <c r="C101" s="5" t="s">
        <v>8</v>
      </c>
      <c r="D101" s="5" t="s">
        <v>10</v>
      </c>
      <c r="E101" s="61" t="s">
        <v>13</v>
      </c>
      <c r="F101" s="62"/>
      <c r="G101" s="12" t="s">
        <v>11</v>
      </c>
      <c r="H101" s="61" t="s">
        <v>12</v>
      </c>
      <c r="I101" s="62"/>
      <c r="J101" s="12" t="s">
        <v>14</v>
      </c>
      <c r="K101" s="12" t="s">
        <v>33</v>
      </c>
    </row>
    <row r="102" spans="2:11" ht="22.5" customHeight="1" x14ac:dyDescent="0.3">
      <c r="B102" s="59"/>
      <c r="C102" s="1" t="s">
        <v>0</v>
      </c>
      <c r="D102" s="8" t="str">
        <f>IF(VLOOKUP(G102,$C$46:$E$77,2,FALSE)="","",VLOOKUP(G102,$C$46:$E$77,2,FALSE))</f>
        <v/>
      </c>
      <c r="E102" s="63" t="str">
        <f>IF(VLOOKUP(G102,$C$46:$E$77,3,FALSE)="","",VLOOKUP(G102,$C$46:$E$77,3,FALSE))</f>
        <v/>
      </c>
      <c r="F102" s="64"/>
      <c r="G102" s="13"/>
      <c r="H102" s="63" t="str">
        <f>IFERROR(VLOOKUP(G102,$G$46:$H$77,2,FALSE),"")</f>
        <v/>
      </c>
      <c r="I102" s="64"/>
      <c r="J102" s="15" t="s">
        <v>634</v>
      </c>
      <c r="K102" s="54" t="s">
        <v>738</v>
      </c>
    </row>
    <row r="103" spans="2:11" ht="22.5" customHeight="1" x14ac:dyDescent="0.3">
      <c r="B103" s="59"/>
      <c r="C103" s="1" t="s">
        <v>1</v>
      </c>
      <c r="D103" s="8" t="str">
        <f t="shared" ref="D103:D104" si="13">IF(VLOOKUP(G103,$C$46:$E$77,2,FALSE)="","",VLOOKUP(G103,$C$46:$E$77,2,FALSE))</f>
        <v/>
      </c>
      <c r="E103" s="63" t="str">
        <f t="shared" ref="E103:E104" si="14">IF(VLOOKUP(G103,$C$46:$E$77,3,FALSE)="","",VLOOKUP(G103,$C$46:$E$77,3,FALSE))</f>
        <v/>
      </c>
      <c r="F103" s="64"/>
      <c r="G103" s="13"/>
      <c r="H103" s="63" t="str">
        <f t="shared" ref="H103:H110" si="15">IFERROR(VLOOKUP(G103,$G$46:$H$77,2,FALSE),"")</f>
        <v/>
      </c>
      <c r="I103" s="64"/>
      <c r="J103" s="15" t="s">
        <v>734</v>
      </c>
      <c r="K103" s="65"/>
    </row>
    <row r="104" spans="2:11" ht="22.5" customHeight="1" x14ac:dyDescent="0.3">
      <c r="B104" s="59"/>
      <c r="C104" s="1" t="s">
        <v>2</v>
      </c>
      <c r="D104" s="8" t="str">
        <f t="shared" si="13"/>
        <v/>
      </c>
      <c r="E104" s="63" t="str">
        <f t="shared" si="14"/>
        <v/>
      </c>
      <c r="F104" s="64"/>
      <c r="G104" s="13"/>
      <c r="H104" s="63" t="str">
        <f t="shared" si="15"/>
        <v/>
      </c>
      <c r="I104" s="64"/>
      <c r="J104" s="15" t="s">
        <v>735</v>
      </c>
      <c r="K104" s="65"/>
    </row>
    <row r="105" spans="2:11" ht="22.5" customHeight="1" x14ac:dyDescent="0.3">
      <c r="B105" s="59"/>
      <c r="C105" s="2" t="s">
        <v>18</v>
      </c>
      <c r="D105" s="7"/>
      <c r="E105" s="67"/>
      <c r="F105" s="68"/>
      <c r="G105" s="17"/>
      <c r="H105" s="67"/>
      <c r="I105" s="68"/>
      <c r="J105" s="16"/>
      <c r="K105" s="65"/>
    </row>
    <row r="106" spans="2:11" ht="22.5" customHeight="1" x14ac:dyDescent="0.3">
      <c r="B106" s="59"/>
      <c r="C106" s="1" t="s">
        <v>3</v>
      </c>
      <c r="D106" s="8" t="str">
        <f>IF(VLOOKUP(G106,$C$46:$E$77,2,FALSE)="","",VLOOKUP(G106,$C$46:$E$77,2,FALSE))</f>
        <v/>
      </c>
      <c r="E106" s="63" t="str">
        <f>IF(VLOOKUP(G106,$C$46:$E$77,3,FALSE)="","",VLOOKUP(G106,$C$46:$E$77,3,FALSE))</f>
        <v/>
      </c>
      <c r="F106" s="64"/>
      <c r="G106" s="13"/>
      <c r="H106" s="63" t="str">
        <f t="shared" si="15"/>
        <v/>
      </c>
      <c r="I106" s="64"/>
      <c r="J106" s="15" t="s">
        <v>717</v>
      </c>
      <c r="K106" s="65"/>
    </row>
    <row r="107" spans="2:11" ht="22.5" customHeight="1" x14ac:dyDescent="0.3">
      <c r="B107" s="59"/>
      <c r="C107" s="1" t="s">
        <v>4</v>
      </c>
      <c r="D107" s="8" t="str">
        <f t="shared" ref="D107:D110" si="16">IF(VLOOKUP(G107,$C$46:$E$77,2,FALSE)="","",VLOOKUP(G107,$C$46:$E$77,2,FALSE))</f>
        <v/>
      </c>
      <c r="E107" s="63" t="str">
        <f t="shared" ref="E107:E110" si="17">IF(VLOOKUP(G107,$C$46:$E$77,3,FALSE)="","",VLOOKUP(G107,$C$46:$E$77,3,FALSE))</f>
        <v/>
      </c>
      <c r="F107" s="64"/>
      <c r="G107" s="13"/>
      <c r="H107" s="63" t="str">
        <f t="shared" si="15"/>
        <v/>
      </c>
      <c r="I107" s="64"/>
      <c r="J107" s="15" t="s">
        <v>635</v>
      </c>
      <c r="K107" s="65"/>
    </row>
    <row r="108" spans="2:11" ht="22.5" customHeight="1" x14ac:dyDescent="0.3">
      <c r="B108" s="59"/>
      <c r="C108" s="1" t="s">
        <v>5</v>
      </c>
      <c r="D108" s="8" t="str">
        <f t="shared" si="16"/>
        <v/>
      </c>
      <c r="E108" s="63" t="str">
        <f t="shared" si="17"/>
        <v/>
      </c>
      <c r="F108" s="64"/>
      <c r="G108" s="13"/>
      <c r="H108" s="63" t="str">
        <f t="shared" si="15"/>
        <v/>
      </c>
      <c r="I108" s="64"/>
      <c r="J108" s="15" t="s">
        <v>590</v>
      </c>
      <c r="K108" s="65"/>
    </row>
    <row r="109" spans="2:11" ht="22.5" customHeight="1" x14ac:dyDescent="0.3">
      <c r="B109" s="59"/>
      <c r="C109" s="1" t="s">
        <v>6</v>
      </c>
      <c r="D109" s="8" t="str">
        <f t="shared" si="16"/>
        <v/>
      </c>
      <c r="E109" s="63" t="str">
        <f t="shared" si="17"/>
        <v/>
      </c>
      <c r="F109" s="64"/>
      <c r="G109" s="13"/>
      <c r="H109" s="63" t="str">
        <f t="shared" si="15"/>
        <v/>
      </c>
      <c r="I109" s="64"/>
      <c r="J109" s="15"/>
      <c r="K109" s="65"/>
    </row>
    <row r="110" spans="2:11" ht="22.5" customHeight="1" x14ac:dyDescent="0.3">
      <c r="B110" s="60"/>
      <c r="C110" s="1" t="s">
        <v>7</v>
      </c>
      <c r="D110" s="8" t="str">
        <f t="shared" si="16"/>
        <v/>
      </c>
      <c r="E110" s="63" t="str">
        <f t="shared" si="17"/>
        <v/>
      </c>
      <c r="F110" s="64"/>
      <c r="G110" s="13"/>
      <c r="H110" s="63" t="str">
        <f t="shared" si="15"/>
        <v/>
      </c>
      <c r="I110" s="64"/>
      <c r="J110" s="15"/>
      <c r="K110" s="66"/>
    </row>
    <row r="111" spans="2:11" ht="22.5" customHeight="1" x14ac:dyDescent="0.3">
      <c r="B111" s="58" t="s">
        <v>19</v>
      </c>
      <c r="C111" s="5" t="s">
        <v>8</v>
      </c>
      <c r="D111" s="5" t="s">
        <v>10</v>
      </c>
      <c r="E111" s="61" t="s">
        <v>13</v>
      </c>
      <c r="F111" s="62"/>
      <c r="G111" s="12" t="s">
        <v>11</v>
      </c>
      <c r="H111" s="61" t="s">
        <v>12</v>
      </c>
      <c r="I111" s="62"/>
      <c r="J111" s="12" t="s">
        <v>14</v>
      </c>
      <c r="K111" s="12" t="s">
        <v>34</v>
      </c>
    </row>
    <row r="112" spans="2:11" ht="22.5" customHeight="1" x14ac:dyDescent="0.3">
      <c r="B112" s="59"/>
      <c r="C112" s="1" t="s">
        <v>0</v>
      </c>
      <c r="D112" s="8" t="str">
        <f>IF(VLOOKUP(G112,$C$46:$E$77,2,FALSE)="","",VLOOKUP(G112,$C$46:$E$77,2,FALSE))</f>
        <v/>
      </c>
      <c r="E112" s="63" t="str">
        <f>IF(VLOOKUP(G112,$C$46:$E$77,3,FALSE)="","",VLOOKUP(G112,$C$46:$E$77,3,FALSE))</f>
        <v/>
      </c>
      <c r="F112" s="64"/>
      <c r="G112" s="13"/>
      <c r="H112" s="63" t="str">
        <f>IFERROR(VLOOKUP(G112,$G$46:$H$77,2,FALSE),"")</f>
        <v/>
      </c>
      <c r="I112" s="64"/>
      <c r="J112" s="15"/>
      <c r="K112" s="54"/>
    </row>
    <row r="113" spans="2:11" ht="22.5" customHeight="1" x14ac:dyDescent="0.3">
      <c r="B113" s="59"/>
      <c r="C113" s="1" t="s">
        <v>1</v>
      </c>
      <c r="D113" s="8" t="str">
        <f t="shared" ref="D113:D114" si="18">IF(VLOOKUP(G113,$C$46:$E$77,2,FALSE)="","",VLOOKUP(G113,$C$46:$E$77,2,FALSE))</f>
        <v/>
      </c>
      <c r="E113" s="63" t="str">
        <f t="shared" ref="E113:E114" si="19">IF(VLOOKUP(G113,$C$46:$E$77,3,FALSE)="","",VLOOKUP(G113,$C$46:$E$77,3,FALSE))</f>
        <v/>
      </c>
      <c r="F113" s="64"/>
      <c r="G113" s="13"/>
      <c r="H113" s="63" t="str">
        <f t="shared" ref="H113:H120" si="20">IFERROR(VLOOKUP(G113,$G$46:$H$77,2,FALSE),"")</f>
        <v/>
      </c>
      <c r="I113" s="64"/>
      <c r="J113" s="15"/>
      <c r="K113" s="65"/>
    </row>
    <row r="114" spans="2:11" ht="22.5" customHeight="1" x14ac:dyDescent="0.3">
      <c r="B114" s="59"/>
      <c r="C114" s="1" t="s">
        <v>2</v>
      </c>
      <c r="D114" s="8" t="str">
        <f t="shared" si="18"/>
        <v/>
      </c>
      <c r="E114" s="63" t="str">
        <f t="shared" si="19"/>
        <v/>
      </c>
      <c r="F114" s="64"/>
      <c r="G114" s="13"/>
      <c r="H114" s="63" t="str">
        <f t="shared" si="20"/>
        <v/>
      </c>
      <c r="I114" s="64"/>
      <c r="J114" s="15"/>
      <c r="K114" s="65"/>
    </row>
    <row r="115" spans="2:11" ht="22.5" customHeight="1" x14ac:dyDescent="0.3">
      <c r="B115" s="59"/>
      <c r="C115" s="2" t="s">
        <v>18</v>
      </c>
      <c r="D115" s="7"/>
      <c r="E115" s="67"/>
      <c r="F115" s="68"/>
      <c r="G115" s="17"/>
      <c r="H115" s="67"/>
      <c r="I115" s="68"/>
      <c r="J115" s="16"/>
      <c r="K115" s="65"/>
    </row>
    <row r="116" spans="2:11" ht="22.5" customHeight="1" x14ac:dyDescent="0.3">
      <c r="B116" s="59"/>
      <c r="C116" s="1" t="s">
        <v>3</v>
      </c>
      <c r="D116" s="8" t="str">
        <f>IF(VLOOKUP(G116,$C$46:$E$77,2,FALSE)="","",VLOOKUP(G116,$C$46:$E$77,2,FALSE))</f>
        <v/>
      </c>
      <c r="E116" s="63" t="str">
        <f>IF(VLOOKUP(G116,$C$46:$E$77,3,FALSE)="","",VLOOKUP(G116,$C$46:$E$77,3,FALSE))</f>
        <v/>
      </c>
      <c r="F116" s="64"/>
      <c r="G116" s="13"/>
      <c r="H116" s="63" t="str">
        <f t="shared" si="20"/>
        <v/>
      </c>
      <c r="I116" s="64"/>
      <c r="J116" s="15"/>
      <c r="K116" s="65"/>
    </row>
    <row r="117" spans="2:11" ht="22.5" customHeight="1" x14ac:dyDescent="0.3">
      <c r="B117" s="59"/>
      <c r="C117" s="1" t="s">
        <v>4</v>
      </c>
      <c r="D117" s="8" t="str">
        <f t="shared" ref="D117:D120" si="21">IF(VLOOKUP(G117,$C$46:$E$77,2,FALSE)="","",VLOOKUP(G117,$C$46:$E$77,2,FALSE))</f>
        <v/>
      </c>
      <c r="E117" s="63" t="str">
        <f t="shared" ref="E117:E120" si="22">IF(VLOOKUP(G117,$C$46:$E$77,3,FALSE)="","",VLOOKUP(G117,$C$46:$E$77,3,FALSE))</f>
        <v/>
      </c>
      <c r="F117" s="64"/>
      <c r="G117" s="13"/>
      <c r="H117" s="63" t="str">
        <f t="shared" si="20"/>
        <v/>
      </c>
      <c r="I117" s="64"/>
      <c r="J117" s="15"/>
      <c r="K117" s="65"/>
    </row>
    <row r="118" spans="2:11" ht="22.5" customHeight="1" x14ac:dyDescent="0.3">
      <c r="B118" s="59"/>
      <c r="C118" s="1" t="s">
        <v>5</v>
      </c>
      <c r="D118" s="8" t="str">
        <f t="shared" si="21"/>
        <v/>
      </c>
      <c r="E118" s="63" t="str">
        <f t="shared" si="22"/>
        <v/>
      </c>
      <c r="F118" s="64"/>
      <c r="G118" s="13"/>
      <c r="H118" s="63" t="str">
        <f t="shared" si="20"/>
        <v/>
      </c>
      <c r="I118" s="64"/>
      <c r="J118" s="15"/>
      <c r="K118" s="65"/>
    </row>
    <row r="119" spans="2:11" ht="22.5" customHeight="1" x14ac:dyDescent="0.3">
      <c r="B119" s="59"/>
      <c r="C119" s="1" t="s">
        <v>6</v>
      </c>
      <c r="D119" s="8" t="str">
        <f t="shared" si="21"/>
        <v/>
      </c>
      <c r="E119" s="63" t="str">
        <f t="shared" si="22"/>
        <v/>
      </c>
      <c r="F119" s="64"/>
      <c r="G119" s="13"/>
      <c r="H119" s="63" t="str">
        <f t="shared" si="20"/>
        <v/>
      </c>
      <c r="I119" s="64"/>
      <c r="J119" s="15"/>
      <c r="K119" s="65"/>
    </row>
    <row r="120" spans="2:11" ht="22.5" customHeight="1" x14ac:dyDescent="0.3">
      <c r="B120" s="60"/>
      <c r="C120" s="1" t="s">
        <v>7</v>
      </c>
      <c r="D120" s="8" t="str">
        <f t="shared" si="21"/>
        <v/>
      </c>
      <c r="E120" s="63" t="str">
        <f t="shared" si="22"/>
        <v/>
      </c>
      <c r="F120" s="64"/>
      <c r="G120" s="13"/>
      <c r="H120" s="63" t="str">
        <f t="shared" si="20"/>
        <v/>
      </c>
      <c r="I120" s="64"/>
      <c r="J120" s="15"/>
      <c r="K120" s="66"/>
    </row>
    <row r="121" spans="2:11" ht="22.5" customHeight="1" x14ac:dyDescent="0.3">
      <c r="B121" s="58" t="s">
        <v>20</v>
      </c>
      <c r="C121" s="5" t="s">
        <v>8</v>
      </c>
      <c r="D121" s="5" t="s">
        <v>10</v>
      </c>
      <c r="E121" s="61" t="s">
        <v>13</v>
      </c>
      <c r="F121" s="62"/>
      <c r="G121" s="12" t="s">
        <v>11</v>
      </c>
      <c r="H121" s="61" t="s">
        <v>12</v>
      </c>
      <c r="I121" s="62"/>
      <c r="J121" s="12" t="s">
        <v>14</v>
      </c>
      <c r="K121" s="12" t="s">
        <v>35</v>
      </c>
    </row>
    <row r="122" spans="2:11" ht="22.5" customHeight="1" x14ac:dyDescent="0.3">
      <c r="B122" s="59"/>
      <c r="C122" s="1" t="s">
        <v>0</v>
      </c>
      <c r="D122" s="8" t="str">
        <f>IF(VLOOKUP(G122,$C$46:$E$77,2,FALSE)="","",VLOOKUP(G122,$C$46:$E$77,2,FALSE))</f>
        <v/>
      </c>
      <c r="E122" s="63" t="str">
        <f>IF(VLOOKUP(G122,$C$46:$E$77,3,FALSE)="","",VLOOKUP(G122,$C$46:$E$77,3,FALSE))</f>
        <v/>
      </c>
      <c r="F122" s="64"/>
      <c r="G122" s="13"/>
      <c r="H122" s="63" t="str">
        <f>IFERROR(VLOOKUP(G122,$G$46:$H$77,2,FALSE),"")</f>
        <v/>
      </c>
      <c r="I122" s="64"/>
      <c r="J122" s="15"/>
      <c r="K122" s="54"/>
    </row>
    <row r="123" spans="2:11" ht="22.5" customHeight="1" x14ac:dyDescent="0.3">
      <c r="B123" s="59"/>
      <c r="C123" s="1" t="s">
        <v>1</v>
      </c>
      <c r="D123" s="8" t="str">
        <f t="shared" ref="D123:D124" si="23">IF(VLOOKUP(G123,$C$46:$E$77,2,FALSE)="","",VLOOKUP(G123,$C$46:$E$77,2,FALSE))</f>
        <v/>
      </c>
      <c r="E123" s="63" t="str">
        <f t="shared" ref="E123:E124" si="24">IF(VLOOKUP(G123,$C$46:$E$77,3,FALSE)="","",VLOOKUP(G123,$C$46:$E$77,3,FALSE))</f>
        <v/>
      </c>
      <c r="F123" s="64"/>
      <c r="G123" s="13"/>
      <c r="H123" s="63" t="str">
        <f t="shared" ref="H123:H130" si="25">IFERROR(VLOOKUP(G123,$G$46:$H$77,2,FALSE),"")</f>
        <v/>
      </c>
      <c r="I123" s="64"/>
      <c r="J123" s="15"/>
      <c r="K123" s="65"/>
    </row>
    <row r="124" spans="2:11" ht="22.5" customHeight="1" x14ac:dyDescent="0.3">
      <c r="B124" s="59"/>
      <c r="C124" s="1" t="s">
        <v>2</v>
      </c>
      <c r="D124" s="8" t="str">
        <f t="shared" si="23"/>
        <v/>
      </c>
      <c r="E124" s="63" t="str">
        <f t="shared" si="24"/>
        <v/>
      </c>
      <c r="F124" s="64"/>
      <c r="G124" s="13"/>
      <c r="H124" s="63" t="str">
        <f t="shared" si="25"/>
        <v/>
      </c>
      <c r="I124" s="64"/>
      <c r="J124" s="15"/>
      <c r="K124" s="65"/>
    </row>
    <row r="125" spans="2:11" ht="22.5" customHeight="1" x14ac:dyDescent="0.3">
      <c r="B125" s="59"/>
      <c r="C125" s="2" t="s">
        <v>18</v>
      </c>
      <c r="D125" s="7"/>
      <c r="E125" s="67"/>
      <c r="F125" s="68"/>
      <c r="G125" s="17"/>
      <c r="H125" s="67"/>
      <c r="I125" s="68"/>
      <c r="J125" s="16"/>
      <c r="K125" s="65"/>
    </row>
    <row r="126" spans="2:11" ht="22.5" customHeight="1" x14ac:dyDescent="0.3">
      <c r="B126" s="59"/>
      <c r="C126" s="1" t="s">
        <v>3</v>
      </c>
      <c r="D126" s="8" t="str">
        <f>IF(VLOOKUP(G126,$C$46:$E$77,2,FALSE)="","",VLOOKUP(G126,$C$46:$E$77,2,FALSE))</f>
        <v/>
      </c>
      <c r="E126" s="63" t="str">
        <f>IF(VLOOKUP(G126,$C$46:$E$77,3,FALSE)="","",VLOOKUP(G126,$C$46:$E$77,3,FALSE))</f>
        <v/>
      </c>
      <c r="F126" s="64"/>
      <c r="G126" s="13"/>
      <c r="H126" s="63" t="str">
        <f t="shared" si="25"/>
        <v/>
      </c>
      <c r="I126" s="64"/>
      <c r="J126" s="15"/>
      <c r="K126" s="65"/>
    </row>
    <row r="127" spans="2:11" ht="22.5" customHeight="1" x14ac:dyDescent="0.3">
      <c r="B127" s="59"/>
      <c r="C127" s="1" t="s">
        <v>4</v>
      </c>
      <c r="D127" s="8" t="str">
        <f t="shared" ref="D127:D130" si="26">IF(VLOOKUP(G127,$C$46:$E$77,2,FALSE)="","",VLOOKUP(G127,$C$46:$E$77,2,FALSE))</f>
        <v/>
      </c>
      <c r="E127" s="63" t="str">
        <f t="shared" ref="E127:E130" si="27">IF(VLOOKUP(G127,$C$46:$E$77,3,FALSE)="","",VLOOKUP(G127,$C$46:$E$77,3,FALSE))</f>
        <v/>
      </c>
      <c r="F127" s="64"/>
      <c r="G127" s="13"/>
      <c r="H127" s="63" t="str">
        <f t="shared" si="25"/>
        <v/>
      </c>
      <c r="I127" s="64"/>
      <c r="J127" s="15"/>
      <c r="K127" s="65"/>
    </row>
    <row r="128" spans="2:11" ht="22.5" customHeight="1" x14ac:dyDescent="0.3">
      <c r="B128" s="59"/>
      <c r="C128" s="1" t="s">
        <v>5</v>
      </c>
      <c r="D128" s="8" t="str">
        <f t="shared" si="26"/>
        <v/>
      </c>
      <c r="E128" s="63" t="str">
        <f t="shared" si="27"/>
        <v/>
      </c>
      <c r="F128" s="64"/>
      <c r="G128" s="13"/>
      <c r="H128" s="63" t="str">
        <f t="shared" si="25"/>
        <v/>
      </c>
      <c r="I128" s="64"/>
      <c r="J128" s="15"/>
      <c r="K128" s="65"/>
    </row>
    <row r="129" spans="2:11" ht="22.5" customHeight="1" x14ac:dyDescent="0.3">
      <c r="B129" s="59"/>
      <c r="C129" s="1" t="s">
        <v>6</v>
      </c>
      <c r="D129" s="8" t="str">
        <f t="shared" si="26"/>
        <v/>
      </c>
      <c r="E129" s="63" t="str">
        <f t="shared" si="27"/>
        <v/>
      </c>
      <c r="F129" s="64"/>
      <c r="G129" s="13"/>
      <c r="H129" s="63" t="str">
        <f t="shared" si="25"/>
        <v/>
      </c>
      <c r="I129" s="64"/>
      <c r="J129" s="15"/>
      <c r="K129" s="65"/>
    </row>
    <row r="130" spans="2:11" ht="22.5" customHeight="1" x14ac:dyDescent="0.3">
      <c r="B130" s="60"/>
      <c r="C130" s="1" t="s">
        <v>7</v>
      </c>
      <c r="D130" s="8" t="str">
        <f t="shared" si="26"/>
        <v/>
      </c>
      <c r="E130" s="63" t="str">
        <f t="shared" si="27"/>
        <v/>
      </c>
      <c r="F130" s="64"/>
      <c r="G130" s="13"/>
      <c r="H130" s="63" t="str">
        <f t="shared" si="25"/>
        <v/>
      </c>
      <c r="I130" s="64"/>
      <c r="J130" s="15"/>
      <c r="K130" s="66"/>
    </row>
    <row r="131" spans="2:11" ht="22.5" customHeight="1" x14ac:dyDescent="0.3">
      <c r="K131" s="11">
        <f>COUNTA(K82,K92,K102,K112,K122)</f>
        <v>3</v>
      </c>
    </row>
    <row r="132" spans="2:11" ht="22.5" customHeight="1" x14ac:dyDescent="0.3"/>
    <row r="133" spans="2:11" ht="22.5" customHeight="1" x14ac:dyDescent="0.3"/>
    <row r="134" spans="2:11" ht="22.5" customHeight="1" x14ac:dyDescent="0.3"/>
    <row r="135" spans="2:11" ht="22.5" customHeight="1" x14ac:dyDescent="0.3"/>
    <row r="136" spans="2:11" ht="22.5" customHeight="1" x14ac:dyDescent="0.3"/>
    <row r="137" spans="2:11" ht="22.5" customHeight="1" x14ac:dyDescent="0.3"/>
    <row r="138" spans="2:11" ht="22.5" customHeight="1" x14ac:dyDescent="0.3"/>
    <row r="139" spans="2:11" ht="22.5" customHeight="1" x14ac:dyDescent="0.3"/>
    <row r="140" spans="2:11" ht="22.5" customHeight="1" x14ac:dyDescent="0.3"/>
    <row r="141" spans="2:11" ht="22.5" customHeight="1" x14ac:dyDescent="0.3"/>
    <row r="142" spans="2:11"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2FA98F3E-B1A5-4941-9A81-0B7E24C20A4C}">
          <x14:formula1>
            <xm:f>통합!$A$2:$A$52</xm:f>
          </x14:formula1>
          <xm:sqref>C2:I2</xm:sqref>
        </x14:dataValidation>
        <x14:dataValidation type="list" allowBlank="1" showInputMessage="1" showErrorMessage="1" xr:uid="{66C12477-1B81-40CD-96E8-0AE36E35D31B}">
          <x14:formula1>
            <xm:f>통합!$A$2:$A$43</xm:f>
          </x14:formula1>
          <xm:sqref>J46:J77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6ADD-29B5-450D-98D3-E98A14907FD8}">
  <dimension ref="A1:O140"/>
  <sheetViews>
    <sheetView topLeftCell="A22" zoomScaleNormal="100" workbookViewId="0">
      <selection activeCell="J28" sqref="J28:K28"/>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6" t="s">
        <v>231</v>
      </c>
      <c r="B1" s="46"/>
      <c r="C1" s="46"/>
      <c r="D1" s="46"/>
      <c r="E1" s="46"/>
      <c r="F1" s="46"/>
      <c r="G1" s="46"/>
      <c r="H1" s="46"/>
      <c r="I1" s="46"/>
      <c r="J1" s="46"/>
      <c r="K1" s="46"/>
    </row>
    <row r="2" spans="1:15" ht="21.75" customHeight="1" x14ac:dyDescent="0.3">
      <c r="B2" s="4" t="s">
        <v>205</v>
      </c>
      <c r="C2" s="43" t="s">
        <v>346</v>
      </c>
      <c r="D2" s="43"/>
      <c r="E2" s="43"/>
      <c r="F2" s="43"/>
      <c r="G2" s="43"/>
      <c r="H2" s="43"/>
      <c r="I2" s="44"/>
      <c r="J2" s="45"/>
      <c r="K2" s="45"/>
      <c r="L2" s="10"/>
      <c r="M2" s="10"/>
      <c r="N2" s="10"/>
      <c r="O2" s="10"/>
    </row>
    <row r="3" spans="1:15" ht="21.75" customHeight="1" x14ac:dyDescent="0.3">
      <c r="A3" s="11" t="s">
        <v>169</v>
      </c>
      <c r="B3" s="4" t="s">
        <v>23</v>
      </c>
      <c r="C3" s="43" t="s">
        <v>229</v>
      </c>
      <c r="D3" s="43"/>
      <c r="E3" s="43"/>
      <c r="F3" s="43"/>
      <c r="G3" s="43"/>
      <c r="H3" s="43"/>
      <c r="I3" s="44"/>
      <c r="J3" s="45" t="s">
        <v>226</v>
      </c>
      <c r="K3" s="45"/>
      <c r="L3" s="10"/>
      <c r="M3" s="10"/>
      <c r="N3" s="10"/>
      <c r="O3" s="10"/>
    </row>
    <row r="4" spans="1:15" ht="156.75" customHeight="1" x14ac:dyDescent="0.3">
      <c r="B4" s="4" t="s">
        <v>230</v>
      </c>
      <c r="C4" s="47" t="s">
        <v>345</v>
      </c>
      <c r="D4" s="43"/>
      <c r="E4" s="43"/>
      <c r="F4" s="43"/>
      <c r="G4" s="43"/>
      <c r="H4" s="43"/>
      <c r="I4" s="44"/>
      <c r="J4" s="45"/>
      <c r="K4" s="45"/>
      <c r="L4" s="10"/>
      <c r="M4" s="10"/>
      <c r="N4" s="10"/>
      <c r="O4" s="10"/>
    </row>
    <row r="5" spans="1:15" ht="21.75" customHeight="1" x14ac:dyDescent="0.3">
      <c r="A5" s="11" t="s">
        <v>188</v>
      </c>
      <c r="B5" s="4" t="s">
        <v>184</v>
      </c>
      <c r="C5" s="43" t="str">
        <f>VLOOKUP($C$2,통합!A2:J52,2,FALSE)</f>
        <v>20.정보통신</v>
      </c>
      <c r="D5" s="43"/>
      <c r="E5" s="43"/>
      <c r="F5" s="43"/>
      <c r="G5" s="43"/>
      <c r="H5" s="43"/>
      <c r="I5" s="44"/>
      <c r="J5" s="45"/>
      <c r="K5" s="45"/>
      <c r="L5" s="10"/>
      <c r="M5" s="10"/>
      <c r="N5" s="10"/>
      <c r="O5" s="10"/>
    </row>
    <row r="6" spans="1:15" ht="21.75" customHeight="1" x14ac:dyDescent="0.3">
      <c r="A6" s="11" t="s">
        <v>189</v>
      </c>
      <c r="B6" s="4" t="s">
        <v>185</v>
      </c>
      <c r="C6" s="43" t="str">
        <f>VLOOKUP($C$2,통합!A2:J52,3,FALSE)</f>
        <v>01.정보기술</v>
      </c>
      <c r="D6" s="43"/>
      <c r="E6" s="43"/>
      <c r="F6" s="43"/>
      <c r="G6" s="43"/>
      <c r="H6" s="43"/>
      <c r="I6" s="44"/>
      <c r="J6" s="45"/>
      <c r="K6" s="45"/>
      <c r="L6" s="10"/>
      <c r="M6" s="10"/>
      <c r="N6" s="10"/>
      <c r="O6" s="10"/>
    </row>
    <row r="7" spans="1:15" ht="21.75" customHeight="1" x14ac:dyDescent="0.3">
      <c r="A7" s="11" t="s">
        <v>190</v>
      </c>
      <c r="B7" s="4" t="s">
        <v>186</v>
      </c>
      <c r="C7" s="43" t="str">
        <f>VLOOKUP($C$2,통합!A2:J52,4,FALSE)</f>
        <v xml:space="preserve">07.인공지능 </v>
      </c>
      <c r="D7" s="43"/>
      <c r="E7" s="43"/>
      <c r="F7" s="43"/>
      <c r="G7" s="43"/>
      <c r="H7" s="43"/>
      <c r="I7" s="44"/>
      <c r="J7" s="45"/>
      <c r="K7" s="45"/>
      <c r="L7" s="10"/>
      <c r="M7" s="10"/>
      <c r="N7" s="10"/>
      <c r="O7" s="10"/>
    </row>
    <row r="8" spans="1:15" ht="21.75" customHeight="1" x14ac:dyDescent="0.3">
      <c r="A8" s="11" t="s">
        <v>191</v>
      </c>
      <c r="B8" s="4" t="s">
        <v>187</v>
      </c>
      <c r="C8" s="43" t="str">
        <f>VLOOKUP($C$2,통합!A2:J52,8,FALSE)&amp;"."&amp;VLOOKUP($C$2,통합!A2:J52,9,FALSE)</f>
        <v>05.프롬프트 구현</v>
      </c>
      <c r="D8" s="43"/>
      <c r="E8" s="43"/>
      <c r="F8" s="43"/>
      <c r="G8" s="43"/>
      <c r="H8" s="43"/>
      <c r="I8" s="44"/>
      <c r="J8" s="45"/>
      <c r="K8" s="45"/>
      <c r="L8" s="10"/>
      <c r="M8" s="10"/>
      <c r="N8" s="10"/>
      <c r="O8" s="10"/>
    </row>
    <row r="9" spans="1:15" ht="21.75" customHeight="1" x14ac:dyDescent="0.3">
      <c r="A9" s="11" t="s">
        <v>210</v>
      </c>
      <c r="B9" s="4" t="s">
        <v>176</v>
      </c>
      <c r="C9" s="43" t="str">
        <f>VLOOKUP($C$2,통합!A2:J52,7,FALSE)</f>
        <v>2001070705_25v1</v>
      </c>
      <c r="D9" s="43"/>
      <c r="E9" s="43"/>
      <c r="F9" s="43"/>
      <c r="G9" s="43"/>
      <c r="H9" s="43"/>
      <c r="I9" s="44"/>
      <c r="J9" s="45"/>
      <c r="K9" s="45"/>
      <c r="L9" s="10"/>
      <c r="M9" s="10"/>
      <c r="N9" s="10"/>
      <c r="O9" s="10"/>
    </row>
    <row r="10" spans="1:15" ht="21.75" customHeight="1" x14ac:dyDescent="0.3">
      <c r="A10" s="11" t="s">
        <v>208</v>
      </c>
      <c r="B10" s="4" t="s">
        <v>24</v>
      </c>
      <c r="C10" s="43">
        <f>VLOOKUP($C$2,통합!A2:J52,6,FALSE)</f>
        <v>5</v>
      </c>
      <c r="D10" s="43"/>
      <c r="E10" s="43"/>
      <c r="F10" s="43"/>
      <c r="G10" s="43"/>
      <c r="H10" s="43"/>
      <c r="I10" s="44"/>
      <c r="J10" s="45"/>
      <c r="K10" s="45"/>
      <c r="L10" s="10"/>
      <c r="M10" s="10"/>
      <c r="N10" s="10"/>
      <c r="O10" s="10"/>
    </row>
    <row r="11" spans="1:15" ht="21.75" customHeight="1" x14ac:dyDescent="0.3">
      <c r="A11" s="11" t="s">
        <v>174</v>
      </c>
      <c r="B11" s="4" t="s">
        <v>15</v>
      </c>
      <c r="C11" s="48" t="str">
        <f>F76&amp;"시간( "&amp;K129&amp;"일)"</f>
        <v>1시간( 0일)</v>
      </c>
      <c r="D11" s="48"/>
      <c r="E11" s="48"/>
      <c r="F11" s="48"/>
      <c r="G11" s="48"/>
      <c r="H11" s="48"/>
      <c r="I11" s="49"/>
      <c r="J11" s="18" t="s">
        <v>175</v>
      </c>
      <c r="K11" s="18"/>
      <c r="L11" s="10"/>
      <c r="M11" s="10"/>
      <c r="N11" s="10"/>
      <c r="O11" s="10"/>
    </row>
    <row r="12" spans="1:15" ht="28.5" customHeight="1" x14ac:dyDescent="0.3">
      <c r="A12" s="50" t="s">
        <v>232</v>
      </c>
      <c r="B12" s="50"/>
      <c r="C12" s="50"/>
      <c r="D12" s="50"/>
      <c r="E12" s="50"/>
      <c r="F12" s="50"/>
      <c r="G12" s="50"/>
      <c r="H12" s="50"/>
      <c r="I12" s="50"/>
      <c r="J12" s="50"/>
      <c r="K12" s="51"/>
      <c r="L12" s="10"/>
      <c r="M12" s="10"/>
      <c r="N12" s="10"/>
      <c r="O12" s="10"/>
    </row>
    <row r="13" spans="1:15" ht="21.75" customHeight="1" x14ac:dyDescent="0.3">
      <c r="A13" s="11" t="s">
        <v>172</v>
      </c>
      <c r="B13" s="4" t="s">
        <v>21</v>
      </c>
      <c r="C13" s="43"/>
      <c r="D13" s="43"/>
      <c r="E13" s="43"/>
      <c r="F13" s="43"/>
      <c r="G13" s="43"/>
      <c r="H13" s="43"/>
      <c r="I13" s="44"/>
      <c r="J13" s="45" t="s">
        <v>37</v>
      </c>
      <c r="K13" s="45"/>
      <c r="L13" s="10"/>
      <c r="M13" s="10"/>
      <c r="N13" s="10"/>
      <c r="O13" s="10"/>
    </row>
    <row r="14" spans="1:15" ht="21.75" customHeight="1" x14ac:dyDescent="0.3">
      <c r="A14" s="11" t="s">
        <v>222</v>
      </c>
      <c r="B14" s="4" t="s">
        <v>223</v>
      </c>
      <c r="C14" s="43"/>
      <c r="D14" s="43"/>
      <c r="E14" s="43"/>
      <c r="F14" s="43"/>
      <c r="G14" s="43"/>
      <c r="H14" s="43"/>
      <c r="I14" s="44"/>
      <c r="J14" s="45" t="s">
        <v>224</v>
      </c>
      <c r="K14" s="45"/>
      <c r="L14" s="10"/>
      <c r="M14" s="10"/>
      <c r="N14" s="10"/>
      <c r="O14" s="10"/>
    </row>
    <row r="15" spans="1:15" ht="21.75" customHeight="1" x14ac:dyDescent="0.3">
      <c r="A15" s="11" t="s">
        <v>182</v>
      </c>
      <c r="B15" s="4" t="s">
        <v>178</v>
      </c>
      <c r="C15" s="43"/>
      <c r="D15" s="43"/>
      <c r="E15" s="43"/>
      <c r="F15" s="43"/>
      <c r="G15" s="43"/>
      <c r="H15" s="43"/>
      <c r="I15" s="44"/>
      <c r="J15" s="45" t="s">
        <v>177</v>
      </c>
      <c r="K15" s="45"/>
      <c r="L15" s="10"/>
      <c r="M15" s="10"/>
      <c r="N15" s="10"/>
      <c r="O15" s="10"/>
    </row>
    <row r="16" spans="1:15" ht="21.75" customHeight="1" x14ac:dyDescent="0.3">
      <c r="A16" s="11" t="s">
        <v>181</v>
      </c>
      <c r="B16" s="4" t="s">
        <v>179</v>
      </c>
      <c r="C16" s="43"/>
      <c r="D16" s="43"/>
      <c r="E16" s="43"/>
      <c r="F16" s="43"/>
      <c r="G16" s="43"/>
      <c r="H16" s="43"/>
      <c r="I16" s="44"/>
      <c r="J16" s="45" t="s">
        <v>180</v>
      </c>
      <c r="K16" s="45"/>
      <c r="L16" s="10"/>
      <c r="M16" s="10"/>
      <c r="N16" s="10"/>
      <c r="O16" s="10"/>
    </row>
    <row r="17" spans="1:15" ht="48.75" customHeight="1" x14ac:dyDescent="0.3">
      <c r="A17" s="11" t="s">
        <v>171</v>
      </c>
      <c r="B17" s="4" t="s">
        <v>206</v>
      </c>
      <c r="C17" s="43"/>
      <c r="D17" s="43"/>
      <c r="E17" s="43"/>
      <c r="F17" s="43"/>
      <c r="G17" s="43"/>
      <c r="H17" s="43"/>
      <c r="I17" s="44"/>
      <c r="J17" s="45" t="s">
        <v>170</v>
      </c>
      <c r="K17" s="45"/>
      <c r="L17" s="10"/>
      <c r="M17" s="10"/>
      <c r="N17" s="10"/>
      <c r="O17" s="10"/>
    </row>
    <row r="18" spans="1:15" ht="48.75" customHeight="1" x14ac:dyDescent="0.3">
      <c r="A18" s="11" t="s">
        <v>183</v>
      </c>
      <c r="B18" s="4" t="s">
        <v>207</v>
      </c>
      <c r="C18" s="43"/>
      <c r="D18" s="43"/>
      <c r="E18" s="43"/>
      <c r="F18" s="43"/>
      <c r="G18" s="43"/>
      <c r="H18" s="43"/>
      <c r="I18" s="44"/>
      <c r="J18" s="45" t="s">
        <v>170</v>
      </c>
      <c r="K18" s="45"/>
      <c r="L18" s="10"/>
      <c r="M18" s="10"/>
      <c r="N18" s="10"/>
      <c r="O18" s="10"/>
    </row>
    <row r="19" spans="1:15" ht="44.25" customHeight="1" x14ac:dyDescent="0.3">
      <c r="A19" s="11" t="s">
        <v>209</v>
      </c>
      <c r="B19" s="4" t="s">
        <v>22</v>
      </c>
      <c r="C19" s="47"/>
      <c r="D19" s="43"/>
      <c r="E19" s="43"/>
      <c r="F19" s="43"/>
      <c r="G19" s="43"/>
      <c r="H19" s="43"/>
      <c r="I19" s="44"/>
      <c r="J19" s="45" t="s">
        <v>39</v>
      </c>
      <c r="K19" s="45"/>
      <c r="L19" s="10"/>
      <c r="M19" s="10"/>
      <c r="N19" s="10"/>
      <c r="O19" s="10"/>
    </row>
    <row r="20" spans="1:15" ht="28.5" customHeight="1" x14ac:dyDescent="0.3">
      <c r="A20" s="11" t="s">
        <v>212</v>
      </c>
      <c r="B20" s="4" t="s">
        <v>25</v>
      </c>
      <c r="C20" s="43"/>
      <c r="D20" s="43"/>
      <c r="E20" s="43"/>
      <c r="F20" s="43"/>
      <c r="G20" s="43"/>
      <c r="H20" s="43"/>
      <c r="I20" s="44"/>
      <c r="J20" s="45" t="s">
        <v>40</v>
      </c>
      <c r="K20" s="45"/>
      <c r="L20" s="10"/>
      <c r="M20" s="10"/>
      <c r="N20" s="10"/>
      <c r="O20" s="10"/>
    </row>
    <row r="21" spans="1:15" ht="78" customHeight="1" x14ac:dyDescent="0.3">
      <c r="A21" s="11" t="s">
        <v>213</v>
      </c>
      <c r="B21" s="4" t="s">
        <v>27</v>
      </c>
      <c r="C21" s="47"/>
      <c r="D21" s="43"/>
      <c r="E21" s="43"/>
      <c r="F21" s="43"/>
      <c r="G21" s="43"/>
      <c r="H21" s="43"/>
      <c r="I21" s="44"/>
      <c r="J21" s="45" t="s">
        <v>41</v>
      </c>
      <c r="K21" s="45"/>
      <c r="L21" s="10"/>
      <c r="M21" s="10"/>
      <c r="N21" s="10"/>
      <c r="O21" s="10"/>
    </row>
    <row r="22" spans="1:15" ht="62.25" customHeight="1" x14ac:dyDescent="0.3">
      <c r="A22" s="11" t="s">
        <v>214</v>
      </c>
      <c r="B22" s="52" t="s">
        <v>28</v>
      </c>
      <c r="C22" s="47"/>
      <c r="D22" s="43"/>
      <c r="E22" s="43"/>
      <c r="F22" s="43"/>
      <c r="G22" s="43"/>
      <c r="H22" s="43"/>
      <c r="I22" s="44"/>
      <c r="J22" s="45" t="s">
        <v>217</v>
      </c>
      <c r="K22" s="45"/>
      <c r="L22" s="10"/>
      <c r="M22" s="10"/>
      <c r="N22" s="10"/>
      <c r="O22" s="10"/>
    </row>
    <row r="23" spans="1:15" ht="62.25" customHeight="1" x14ac:dyDescent="0.3">
      <c r="A23" s="11" t="s">
        <v>215</v>
      </c>
      <c r="B23" s="52"/>
      <c r="C23" s="47"/>
      <c r="D23" s="43"/>
      <c r="E23" s="43"/>
      <c r="F23" s="43"/>
      <c r="G23" s="43"/>
      <c r="H23" s="43"/>
      <c r="I23" s="44"/>
      <c r="J23" s="45" t="s">
        <v>218</v>
      </c>
      <c r="K23" s="45"/>
      <c r="L23" s="10"/>
      <c r="M23" s="10"/>
      <c r="N23" s="10"/>
      <c r="O23" s="10"/>
    </row>
    <row r="24" spans="1:15" ht="62.25" customHeight="1" x14ac:dyDescent="0.3">
      <c r="A24" s="11" t="s">
        <v>216</v>
      </c>
      <c r="B24" s="52"/>
      <c r="C24" s="47"/>
      <c r="D24" s="43"/>
      <c r="E24" s="43"/>
      <c r="F24" s="43"/>
      <c r="G24" s="43"/>
      <c r="H24" s="43"/>
      <c r="I24" s="44"/>
      <c r="J24" s="45" t="s">
        <v>219</v>
      </c>
      <c r="K24" s="45"/>
      <c r="L24" s="10"/>
      <c r="M24" s="10"/>
      <c r="N24" s="10"/>
      <c r="O24" s="10"/>
    </row>
    <row r="25" spans="1:15" ht="83.25" customHeight="1" x14ac:dyDescent="0.3">
      <c r="A25" s="11" t="s">
        <v>220</v>
      </c>
      <c r="B25" s="6" t="s">
        <v>29</v>
      </c>
      <c r="C25" s="47"/>
      <c r="D25" s="43"/>
      <c r="E25" s="43"/>
      <c r="F25" s="43"/>
      <c r="G25" s="43"/>
      <c r="H25" s="43"/>
      <c r="I25" s="44"/>
      <c r="J25" s="45" t="s">
        <v>45</v>
      </c>
      <c r="K25" s="45"/>
      <c r="L25" s="10"/>
      <c r="M25" s="10"/>
      <c r="N25" s="10"/>
      <c r="O25" s="10"/>
    </row>
    <row r="26" spans="1:15" ht="47.25" customHeight="1" x14ac:dyDescent="0.3">
      <c r="A26" s="11" t="s">
        <v>225</v>
      </c>
      <c r="B26" s="6" t="s">
        <v>46</v>
      </c>
      <c r="C26" s="47"/>
      <c r="D26" s="43"/>
      <c r="E26" s="43"/>
      <c r="F26" s="43"/>
      <c r="G26" s="43"/>
      <c r="H26" s="43"/>
      <c r="I26" s="44"/>
      <c r="J26" s="45" t="s">
        <v>519</v>
      </c>
      <c r="K26" s="45"/>
      <c r="L26" s="10"/>
      <c r="M26" s="10"/>
      <c r="N26" s="10"/>
      <c r="O26" s="10"/>
    </row>
    <row r="27" spans="1:15" ht="29.25" customHeight="1" x14ac:dyDescent="0.3">
      <c r="A27" s="11" t="s">
        <v>221</v>
      </c>
      <c r="B27" s="4" t="s">
        <v>26</v>
      </c>
      <c r="C27" s="43"/>
      <c r="D27" s="43"/>
      <c r="E27" s="43"/>
      <c r="F27" s="43"/>
      <c r="G27" s="43"/>
      <c r="H27" s="43"/>
      <c r="I27" s="44"/>
      <c r="J27" s="45" t="s">
        <v>48</v>
      </c>
      <c r="K27" s="45"/>
      <c r="L27" s="10"/>
      <c r="M27" s="10"/>
      <c r="N27" s="10"/>
      <c r="O27" s="10"/>
    </row>
    <row r="28" spans="1:15" ht="218.25" customHeight="1" x14ac:dyDescent="0.3">
      <c r="A28" s="11" t="s">
        <v>221</v>
      </c>
      <c r="B28" s="41" t="s">
        <v>227</v>
      </c>
      <c r="C28" s="54"/>
      <c r="D28" s="54"/>
      <c r="E28" s="54"/>
      <c r="F28" s="54"/>
      <c r="G28" s="54"/>
      <c r="H28" s="54"/>
      <c r="I28" s="55"/>
      <c r="J28" s="45" t="s">
        <v>228</v>
      </c>
      <c r="K28" s="45"/>
      <c r="L28" s="10"/>
      <c r="M28" s="10"/>
      <c r="N28" s="10"/>
      <c r="O28" s="10"/>
    </row>
    <row r="29" spans="1:15" ht="29.25" customHeight="1" x14ac:dyDescent="0.3">
      <c r="A29" s="15" t="s">
        <v>495</v>
      </c>
      <c r="B29" s="33" t="s">
        <v>496</v>
      </c>
      <c r="C29" s="43" t="str">
        <f>F76&amp;"시간 (100%)"</f>
        <v>1시간 (100%)</v>
      </c>
      <c r="D29" s="43"/>
      <c r="E29" s="43"/>
      <c r="F29" s="43"/>
      <c r="G29" s="43"/>
      <c r="H29" s="43"/>
      <c r="I29" s="43"/>
      <c r="J29" s="40"/>
      <c r="K29" s="40"/>
      <c r="L29" s="10"/>
      <c r="M29" s="10"/>
      <c r="N29" s="10"/>
      <c r="O29" s="10"/>
    </row>
    <row r="30" spans="1:15" ht="22.5" customHeight="1" x14ac:dyDescent="0.3">
      <c r="A30" s="15" t="s">
        <v>499</v>
      </c>
      <c r="B30" s="33" t="s">
        <v>497</v>
      </c>
      <c r="C30" s="43">
        <f>COUNTA(G80:G88)</f>
        <v>1</v>
      </c>
      <c r="D30" s="43"/>
      <c r="E30" s="43"/>
      <c r="F30" s="43"/>
      <c r="G30" s="43"/>
      <c r="H30" s="43"/>
      <c r="I30" s="43"/>
      <c r="J30" s="56"/>
      <c r="K30" s="57"/>
    </row>
    <row r="31" spans="1:15" ht="22.5" customHeight="1" x14ac:dyDescent="0.3">
      <c r="A31" s="15" t="s">
        <v>500</v>
      </c>
      <c r="B31" s="33" t="s">
        <v>498</v>
      </c>
      <c r="C31" s="43">
        <f>COUNTA(G90:G98)</f>
        <v>0</v>
      </c>
      <c r="D31" s="43"/>
      <c r="E31" s="43"/>
      <c r="F31" s="43"/>
      <c r="G31" s="43"/>
      <c r="H31" s="43"/>
      <c r="I31" s="43"/>
      <c r="J31" s="56"/>
      <c r="K31" s="57"/>
    </row>
    <row r="32" spans="1:15" ht="22.5" customHeight="1" x14ac:dyDescent="0.3">
      <c r="A32" s="15" t="s">
        <v>504</v>
      </c>
      <c r="B32" s="33" t="s">
        <v>501</v>
      </c>
      <c r="C32" s="43">
        <f>COUNTA(G100:G108)</f>
        <v>0</v>
      </c>
      <c r="D32" s="43"/>
      <c r="E32" s="43"/>
      <c r="F32" s="43"/>
      <c r="G32" s="43"/>
      <c r="H32" s="43"/>
      <c r="I32" s="43"/>
      <c r="J32" s="56"/>
      <c r="K32" s="57"/>
    </row>
    <row r="33" spans="1:11" ht="22.5" customHeight="1" x14ac:dyDescent="0.3">
      <c r="A33" s="15" t="s">
        <v>505</v>
      </c>
      <c r="B33" s="33" t="s">
        <v>502</v>
      </c>
      <c r="C33" s="43">
        <f>COUNTA(G110:G118)</f>
        <v>0</v>
      </c>
      <c r="D33" s="43"/>
      <c r="E33" s="43"/>
      <c r="F33" s="43"/>
      <c r="G33" s="43"/>
      <c r="H33" s="43"/>
      <c r="I33" s="43"/>
      <c r="J33" s="56"/>
      <c r="K33" s="57"/>
    </row>
    <row r="34" spans="1:11" ht="22.5" customHeight="1" x14ac:dyDescent="0.3">
      <c r="A34" s="15" t="s">
        <v>506</v>
      </c>
      <c r="B34" s="33" t="s">
        <v>503</v>
      </c>
      <c r="C34" s="43">
        <f>COUNTA(G120:G128)</f>
        <v>0</v>
      </c>
      <c r="D34" s="43"/>
      <c r="E34" s="43"/>
      <c r="F34" s="43"/>
      <c r="G34" s="43"/>
      <c r="H34" s="43"/>
      <c r="I34" s="43"/>
      <c r="J34" s="56"/>
      <c r="K34" s="57"/>
    </row>
    <row r="35" spans="1:11" ht="69" customHeight="1" x14ac:dyDescent="0.3">
      <c r="A35" s="11" t="s">
        <v>507</v>
      </c>
      <c r="B35" s="33" t="s">
        <v>514</v>
      </c>
      <c r="C35" s="43"/>
      <c r="D35" s="43"/>
      <c r="E35" s="43"/>
      <c r="F35" s="43"/>
      <c r="G35" s="43"/>
      <c r="H35" s="43"/>
      <c r="I35" s="43"/>
      <c r="J35" s="56"/>
      <c r="K35" s="57"/>
    </row>
    <row r="36" spans="1:11" ht="69" customHeight="1" x14ac:dyDescent="0.3">
      <c r="A36" s="11" t="s">
        <v>508</v>
      </c>
      <c r="B36" s="33" t="s">
        <v>515</v>
      </c>
      <c r="C36" s="43"/>
      <c r="D36" s="43"/>
      <c r="E36" s="43"/>
      <c r="F36" s="43"/>
      <c r="G36" s="43"/>
      <c r="H36" s="43"/>
      <c r="I36" s="43"/>
      <c r="J36" s="56"/>
      <c r="K36" s="57"/>
    </row>
    <row r="37" spans="1:11" ht="69" customHeight="1" x14ac:dyDescent="0.3">
      <c r="A37" s="11" t="s">
        <v>509</v>
      </c>
      <c r="B37" s="33" t="s">
        <v>516</v>
      </c>
      <c r="C37" s="43"/>
      <c r="D37" s="43"/>
      <c r="E37" s="43"/>
      <c r="F37" s="43"/>
      <c r="G37" s="43"/>
      <c r="H37" s="43"/>
      <c r="I37" s="43"/>
      <c r="J37" s="56"/>
      <c r="K37" s="57"/>
    </row>
    <row r="38" spans="1:11" ht="69" customHeight="1" x14ac:dyDescent="0.3">
      <c r="A38" s="11" t="s">
        <v>510</v>
      </c>
      <c r="B38" s="33" t="s">
        <v>517</v>
      </c>
      <c r="C38" s="43"/>
      <c r="D38" s="43"/>
      <c r="E38" s="43"/>
      <c r="F38" s="43"/>
      <c r="G38" s="43"/>
      <c r="H38" s="43"/>
      <c r="I38" s="43"/>
      <c r="J38" s="56"/>
      <c r="K38" s="57"/>
    </row>
    <row r="39" spans="1:11" ht="69" customHeight="1" x14ac:dyDescent="0.3">
      <c r="A39" s="11" t="s">
        <v>511</v>
      </c>
      <c r="B39" s="33" t="s">
        <v>518</v>
      </c>
      <c r="C39" s="43"/>
      <c r="D39" s="43"/>
      <c r="E39" s="43"/>
      <c r="F39" s="43"/>
      <c r="G39" s="43"/>
      <c r="H39" s="43"/>
      <c r="I39" s="43"/>
      <c r="J39" s="56"/>
      <c r="K39" s="57"/>
    </row>
    <row r="40" spans="1:11" ht="22.5" customHeight="1" x14ac:dyDescent="0.3"/>
    <row r="41" spans="1:11" ht="22.5" customHeight="1" x14ac:dyDescent="0.3"/>
    <row r="42" spans="1:11" ht="22.5" customHeight="1" x14ac:dyDescent="0.3"/>
    <row r="43" spans="1:11" ht="22.5" customHeight="1" x14ac:dyDescent="0.3">
      <c r="D43" s="5" t="s">
        <v>10</v>
      </c>
      <c r="E43" s="5" t="s">
        <v>13</v>
      </c>
      <c r="F43" s="5" t="s">
        <v>15</v>
      </c>
      <c r="G43" s="5" t="s">
        <v>11</v>
      </c>
      <c r="H43" s="5" t="s">
        <v>12</v>
      </c>
      <c r="I43" s="5" t="s">
        <v>15</v>
      </c>
    </row>
    <row r="44" spans="1:11" ht="22.5" customHeight="1" x14ac:dyDescent="0.3">
      <c r="C44" s="9" t="str">
        <f>IFERROR(G44,"")</f>
        <v>2001010211_16v3.1</v>
      </c>
      <c r="D44" s="31">
        <f>VLOOKUP(J44,통합!$A$2:$I$43,6,FALSE)</f>
        <v>4</v>
      </c>
      <c r="E44" s="31" t="str">
        <f>VLOOKUP(J44,통합!$A$2:$I$43,8,FALSE)</f>
        <v>01</v>
      </c>
      <c r="F44" s="8">
        <f>IF(COUNTIF($D$79:$D$128,D44)=0,"",COUNTIF($D$79:$D$128,D44))</f>
        <v>1</v>
      </c>
      <c r="G44" s="13" t="s">
        <v>50</v>
      </c>
      <c r="H44" s="13" t="s">
        <v>51</v>
      </c>
      <c r="I44" s="8">
        <f>IF(COUNTIF($G$79:$G$128,G44)=0,"",COUNTIF($G$79:$G$128,G44))</f>
        <v>1</v>
      </c>
      <c r="J44" s="11" t="s">
        <v>211</v>
      </c>
    </row>
    <row r="45" spans="1:11" ht="22.5" customHeight="1" x14ac:dyDescent="0.3">
      <c r="C45" s="9">
        <f t="shared" ref="C45:C75" si="0">IFERROR(G45,"")</f>
        <v>0</v>
      </c>
      <c r="D45" s="31"/>
      <c r="E45" s="31"/>
      <c r="F45" s="8" t="str">
        <f t="shared" ref="F45:F75" si="1">IF(COUNTIF($D$79:$D$128,D45)=0,"",COUNTIF($D$79:$D$128,D45))</f>
        <v/>
      </c>
      <c r="G45" s="13"/>
      <c r="H45" s="13"/>
      <c r="I45" s="8" t="str">
        <f t="shared" ref="I45:I75" si="2">IF(COUNTIF($G$79:$G$128,G45)=0,"",COUNTIF($G$79:$G$128,G45))</f>
        <v/>
      </c>
    </row>
    <row r="46" spans="1:11" ht="22.5" customHeight="1" x14ac:dyDescent="0.3">
      <c r="C46" s="9">
        <f t="shared" si="0"/>
        <v>0</v>
      </c>
      <c r="D46" s="31"/>
      <c r="E46" s="31"/>
      <c r="F46" s="8" t="str">
        <f t="shared" si="1"/>
        <v/>
      </c>
      <c r="G46" s="14"/>
      <c r="H46" s="13"/>
      <c r="I46" s="8" t="str">
        <f t="shared" si="2"/>
        <v/>
      </c>
    </row>
    <row r="47" spans="1:11" ht="22.5" customHeight="1" x14ac:dyDescent="0.3">
      <c r="C47" s="9">
        <f t="shared" si="0"/>
        <v>0</v>
      </c>
      <c r="D47" s="31"/>
      <c r="E47" s="31"/>
      <c r="F47" s="8" t="str">
        <f t="shared" si="1"/>
        <v/>
      </c>
      <c r="G47" s="13"/>
      <c r="H47" s="13"/>
      <c r="I47" s="8" t="str">
        <f t="shared" si="2"/>
        <v/>
      </c>
    </row>
    <row r="48" spans="1:11" ht="22.5" customHeight="1" x14ac:dyDescent="0.3">
      <c r="C48" s="9">
        <f t="shared" si="0"/>
        <v>0</v>
      </c>
      <c r="D48" s="31"/>
      <c r="E48" s="31"/>
      <c r="F48" s="8" t="str">
        <f t="shared" si="1"/>
        <v/>
      </c>
      <c r="G48" s="13"/>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IF(COUNTIF($G$79:$G$128,#REF!)=0,"",COUNTIF($G$79:$G$128,#REF!))</f>
        <v/>
      </c>
    </row>
    <row r="65" spans="2:11" ht="22.5" customHeight="1" x14ac:dyDescent="0.3">
      <c r="C65" s="9">
        <f t="shared" si="0"/>
        <v>0</v>
      </c>
      <c r="D65" s="31"/>
      <c r="E65" s="31"/>
      <c r="F65" s="8" t="str">
        <f t="shared" si="1"/>
        <v/>
      </c>
      <c r="H65" s="13"/>
      <c r="I65" s="8" t="str">
        <f>IF(COUNTIF($G$79:$G$128,G64)=0,"",COUNTIF($G$79:$G$128,G64))</f>
        <v/>
      </c>
    </row>
    <row r="66" spans="2:11" ht="22.5" customHeight="1" x14ac:dyDescent="0.3">
      <c r="C66" s="9">
        <f t="shared" si="0"/>
        <v>0</v>
      </c>
      <c r="D66" s="31"/>
      <c r="E66" s="31"/>
      <c r="F66" s="8" t="str">
        <f t="shared" si="1"/>
        <v/>
      </c>
      <c r="G66" s="13"/>
      <c r="H66" s="13"/>
      <c r="I66" s="8" t="str">
        <f t="shared" si="2"/>
        <v/>
      </c>
    </row>
    <row r="67" spans="2:11" ht="22.5" customHeight="1" x14ac:dyDescent="0.3">
      <c r="C67" s="9">
        <f t="shared" si="0"/>
        <v>0</v>
      </c>
      <c r="D67" s="31"/>
      <c r="E67" s="31"/>
      <c r="F67" s="8" t="str">
        <f t="shared" si="1"/>
        <v/>
      </c>
      <c r="G67" s="13"/>
      <c r="H67" s="13"/>
      <c r="I67" s="8" t="str">
        <f t="shared" si="2"/>
        <v/>
      </c>
    </row>
    <row r="68" spans="2:11" ht="22.5" customHeight="1" x14ac:dyDescent="0.3">
      <c r="C68" s="9">
        <f t="shared" si="0"/>
        <v>0</v>
      </c>
      <c r="D68" s="31"/>
      <c r="E68" s="31"/>
      <c r="F68" s="8" t="str">
        <f t="shared" si="1"/>
        <v/>
      </c>
      <c r="G68" s="13"/>
      <c r="H68" s="13"/>
      <c r="I68" s="8" t="str">
        <f t="shared" si="2"/>
        <v/>
      </c>
    </row>
    <row r="69" spans="2:11" ht="22.5" customHeight="1" x14ac:dyDescent="0.3">
      <c r="C69" s="9">
        <f t="shared" si="0"/>
        <v>0</v>
      </c>
      <c r="D69" s="31"/>
      <c r="E69" s="31"/>
      <c r="F69" s="8" t="str">
        <f t="shared" si="1"/>
        <v/>
      </c>
      <c r="G69" s="13"/>
      <c r="H69" s="13"/>
      <c r="I69" s="8" t="str">
        <f t="shared" si="2"/>
        <v/>
      </c>
    </row>
    <row r="70" spans="2:11" ht="22.5" customHeight="1" x14ac:dyDescent="0.3">
      <c r="C70" s="9">
        <f t="shared" si="0"/>
        <v>0</v>
      </c>
      <c r="D70" s="31"/>
      <c r="E70" s="31"/>
      <c r="F70" s="8" t="str">
        <f t="shared" si="1"/>
        <v/>
      </c>
      <c r="G70" s="13"/>
      <c r="H70" s="13"/>
      <c r="I70" s="8" t="str">
        <f t="shared" si="2"/>
        <v/>
      </c>
    </row>
    <row r="71" spans="2:11" ht="22.5" customHeight="1" x14ac:dyDescent="0.3">
      <c r="C71" s="9">
        <f t="shared" si="0"/>
        <v>0</v>
      </c>
      <c r="D71" s="31"/>
      <c r="E71" s="31"/>
      <c r="F71" s="8" t="str">
        <f t="shared" si="1"/>
        <v/>
      </c>
      <c r="G71" s="13"/>
      <c r="H71" s="13"/>
      <c r="I71" s="8" t="str">
        <f t="shared" si="2"/>
        <v/>
      </c>
    </row>
    <row r="72" spans="2:11" ht="22.5" customHeight="1" x14ac:dyDescent="0.3">
      <c r="C72" s="9">
        <f t="shared" si="0"/>
        <v>0</v>
      </c>
      <c r="D72" s="31"/>
      <c r="E72" s="31"/>
      <c r="F72" s="8" t="str">
        <f t="shared" si="1"/>
        <v/>
      </c>
      <c r="G72" s="13"/>
      <c r="H72" s="13"/>
      <c r="I72" s="8" t="str">
        <f t="shared" si="2"/>
        <v/>
      </c>
    </row>
    <row r="73" spans="2:11" ht="22.5" customHeight="1" x14ac:dyDescent="0.3">
      <c r="C73" s="9">
        <f t="shared" si="0"/>
        <v>0</v>
      </c>
      <c r="D73" s="31"/>
      <c r="E73" s="31"/>
      <c r="F73" s="8" t="str">
        <f t="shared" si="1"/>
        <v/>
      </c>
      <c r="G73" s="13"/>
      <c r="H73" s="13"/>
      <c r="I73" s="8" t="str">
        <f t="shared" si="2"/>
        <v/>
      </c>
    </row>
    <row r="74" spans="2:11" ht="22.5" customHeight="1" x14ac:dyDescent="0.3">
      <c r="C74" s="9">
        <f t="shared" si="0"/>
        <v>0</v>
      </c>
      <c r="D74" s="31"/>
      <c r="E74" s="31"/>
      <c r="F74" s="8" t="str">
        <f t="shared" si="1"/>
        <v/>
      </c>
      <c r="G74" s="13"/>
      <c r="H74" s="13"/>
      <c r="I74" s="8" t="str">
        <f t="shared" si="2"/>
        <v/>
      </c>
    </row>
    <row r="75" spans="2:11" ht="22.5" customHeight="1" x14ac:dyDescent="0.3">
      <c r="C75" s="9">
        <f t="shared" si="0"/>
        <v>0</v>
      </c>
      <c r="D75" s="32"/>
      <c r="E75" s="32"/>
      <c r="F75" s="29" t="str">
        <f t="shared" si="1"/>
        <v/>
      </c>
      <c r="G75" s="28"/>
      <c r="H75" s="28"/>
      <c r="I75" s="29" t="str">
        <f t="shared" si="2"/>
        <v/>
      </c>
    </row>
    <row r="76" spans="2:11" ht="22.5" customHeight="1" x14ac:dyDescent="0.3">
      <c r="C76" s="8" t="s">
        <v>173</v>
      </c>
      <c r="D76" s="13"/>
      <c r="E76" s="13"/>
      <c r="F76" s="30">
        <f>SUM(F44:F75)</f>
        <v>1</v>
      </c>
      <c r="G76" s="13"/>
      <c r="H76" s="13"/>
      <c r="I76" s="30">
        <f>SUM(I44:I75)</f>
        <v>1</v>
      </c>
    </row>
    <row r="77" spans="2:11" ht="22.5" customHeight="1" x14ac:dyDescent="0.3">
      <c r="C77" s="8"/>
      <c r="D77" s="13"/>
      <c r="E77" s="13"/>
      <c r="F77" s="8"/>
      <c r="G77" s="13"/>
      <c r="H77" s="13"/>
      <c r="I77" s="8"/>
    </row>
    <row r="78" spans="2:11" ht="22.5" customHeight="1" x14ac:dyDescent="0.3"/>
    <row r="79" spans="2:11" ht="22.5" customHeight="1" x14ac:dyDescent="0.3">
      <c r="B79" s="58" t="s">
        <v>9</v>
      </c>
      <c r="C79" s="5" t="s">
        <v>8</v>
      </c>
      <c r="D79" s="5" t="s">
        <v>10</v>
      </c>
      <c r="E79" s="61" t="s">
        <v>13</v>
      </c>
      <c r="F79" s="62"/>
      <c r="G79" s="12" t="s">
        <v>11</v>
      </c>
      <c r="H79" s="61" t="s">
        <v>12</v>
      </c>
      <c r="I79" s="62"/>
      <c r="J79" s="12" t="s">
        <v>14</v>
      </c>
      <c r="K79" s="12" t="s">
        <v>31</v>
      </c>
    </row>
    <row r="80" spans="2:11" ht="22.5" customHeight="1" x14ac:dyDescent="0.3">
      <c r="B80" s="59"/>
      <c r="C80" s="1" t="s">
        <v>0</v>
      </c>
      <c r="D80" s="8">
        <f>IF(VLOOKUP(G80,$C$44:$E$75,2,FALSE)="","",VLOOKUP(G80,$C$44:$E$75,2,FALSE))</f>
        <v>4</v>
      </c>
      <c r="E80" s="63" t="str">
        <f>IF(VLOOKUP(G80,$C$44:$E$75,3,FALSE)="","",VLOOKUP(G80,$C$44:$E$75,3,FALSE))</f>
        <v>01</v>
      </c>
      <c r="F80" s="64"/>
      <c r="G80" s="13" t="s">
        <v>50</v>
      </c>
      <c r="H80" s="63" t="str">
        <f>IFERROR(VLOOKUP(G80,$G$44:$H$75,2,FALSE),"")</f>
        <v>하드웨어 분석하기</v>
      </c>
      <c r="I80" s="64"/>
      <c r="J80" s="15" t="s">
        <v>49</v>
      </c>
      <c r="K80" s="53"/>
    </row>
    <row r="81" spans="2:11" ht="22.5" customHeight="1" x14ac:dyDescent="0.3">
      <c r="B81" s="59"/>
      <c r="C81" s="1" t="s">
        <v>1</v>
      </c>
      <c r="D81" s="8" t="str">
        <f t="shared" ref="D81:D82" si="3">IF(VLOOKUP(G81,$C$44:$E$75,2,FALSE)="","",VLOOKUP(G81,$C$44:$E$75,2,FALSE))</f>
        <v/>
      </c>
      <c r="E81" s="63" t="str">
        <f t="shared" ref="E81:E82" si="4">IF(VLOOKUP(G81,$C$44:$E$75,3,FALSE)="","",VLOOKUP(G81,$C$44:$E$75,3,FALSE))</f>
        <v/>
      </c>
      <c r="F81" s="64"/>
      <c r="G81" s="13"/>
      <c r="H81" s="63" t="str">
        <f t="shared" ref="H81:H88" si="5">IFERROR(VLOOKUP(G81,$G$44:$H$75,2,FALSE),"")</f>
        <v/>
      </c>
      <c r="I81" s="64"/>
      <c r="J81" s="15"/>
      <c r="K81" s="65"/>
    </row>
    <row r="82" spans="2:11" ht="22.5" customHeight="1" x14ac:dyDescent="0.3">
      <c r="B82" s="59"/>
      <c r="C82" s="1" t="s">
        <v>2</v>
      </c>
      <c r="D82" s="8" t="str">
        <f t="shared" si="3"/>
        <v/>
      </c>
      <c r="E82" s="63" t="str">
        <f t="shared" si="4"/>
        <v/>
      </c>
      <c r="F82" s="64"/>
      <c r="G82" s="13"/>
      <c r="H82" s="63" t="str">
        <f t="shared" si="5"/>
        <v/>
      </c>
      <c r="I82" s="64"/>
      <c r="J82" s="15"/>
      <c r="K82" s="65"/>
    </row>
    <row r="83" spans="2:11" ht="22.5" customHeight="1" x14ac:dyDescent="0.3">
      <c r="B83" s="59"/>
      <c r="C83" s="2" t="s">
        <v>18</v>
      </c>
      <c r="D83" s="7"/>
      <c r="E83" s="67"/>
      <c r="F83" s="68"/>
      <c r="G83" s="17"/>
      <c r="H83" s="67"/>
      <c r="I83" s="68"/>
      <c r="J83" s="16"/>
      <c r="K83" s="65"/>
    </row>
    <row r="84" spans="2:11" ht="22.5" customHeight="1" x14ac:dyDescent="0.3">
      <c r="B84" s="59"/>
      <c r="C84" s="1" t="s">
        <v>3</v>
      </c>
      <c r="D84" s="8" t="str">
        <f>IF(VLOOKUP(G84,$C$44:$E$75,2,FALSE)="","",VLOOKUP(G84,$C$44:$E$75,2,FALSE))</f>
        <v/>
      </c>
      <c r="E84" s="63" t="str">
        <f>IF(VLOOKUP(G84,$C$44:$E$75,3,FALSE)="","",VLOOKUP(G84,$C$44:$E$75,3,FALSE))</f>
        <v/>
      </c>
      <c r="F84" s="64"/>
      <c r="G84" s="13"/>
      <c r="H84" s="63" t="str">
        <f t="shared" si="5"/>
        <v/>
      </c>
      <c r="I84" s="64"/>
      <c r="J84" s="15"/>
      <c r="K84" s="65"/>
    </row>
    <row r="85" spans="2:11" ht="22.5" customHeight="1" x14ac:dyDescent="0.3">
      <c r="B85" s="59"/>
      <c r="C85" s="1" t="s">
        <v>4</v>
      </c>
      <c r="D85" s="8" t="str">
        <f t="shared" ref="D85:D88" si="6">IF(VLOOKUP(G85,$C$44:$E$75,2,FALSE)="","",VLOOKUP(G85,$C$44:$E$75,2,FALSE))</f>
        <v/>
      </c>
      <c r="E85" s="63" t="str">
        <f t="shared" ref="E85:E88" si="7">IF(VLOOKUP(G85,$C$44:$E$75,3,FALSE)="","",VLOOKUP(G85,$C$44:$E$75,3,FALSE))</f>
        <v/>
      </c>
      <c r="F85" s="64"/>
      <c r="G85" s="13"/>
      <c r="H85" s="63" t="str">
        <f t="shared" si="5"/>
        <v/>
      </c>
      <c r="I85" s="64"/>
      <c r="J85" s="15"/>
      <c r="K85" s="65"/>
    </row>
    <row r="86" spans="2:11" ht="22.5" customHeight="1" x14ac:dyDescent="0.3">
      <c r="B86" s="59"/>
      <c r="C86" s="1" t="s">
        <v>5</v>
      </c>
      <c r="D86" s="8" t="str">
        <f t="shared" si="6"/>
        <v/>
      </c>
      <c r="E86" s="63" t="str">
        <f t="shared" si="7"/>
        <v/>
      </c>
      <c r="F86" s="64"/>
      <c r="G86" s="13"/>
      <c r="H86" s="63" t="str">
        <f t="shared" si="5"/>
        <v/>
      </c>
      <c r="I86" s="64"/>
      <c r="J86" s="15"/>
      <c r="K86" s="65"/>
    </row>
    <row r="87" spans="2:11" ht="22.5" customHeight="1" x14ac:dyDescent="0.3">
      <c r="B87" s="59"/>
      <c r="C87" s="1" t="s">
        <v>6</v>
      </c>
      <c r="D87" s="8" t="str">
        <f t="shared" si="6"/>
        <v/>
      </c>
      <c r="E87" s="63" t="str">
        <f t="shared" si="7"/>
        <v/>
      </c>
      <c r="F87" s="64"/>
      <c r="G87" s="13"/>
      <c r="H87" s="63" t="str">
        <f t="shared" si="5"/>
        <v/>
      </c>
      <c r="I87" s="64"/>
      <c r="J87" s="15"/>
      <c r="K87" s="65"/>
    </row>
    <row r="88" spans="2:11" ht="22.5" customHeight="1" x14ac:dyDescent="0.3">
      <c r="B88" s="60"/>
      <c r="C88" s="1" t="s">
        <v>7</v>
      </c>
      <c r="D88" s="8" t="str">
        <f t="shared" si="6"/>
        <v/>
      </c>
      <c r="E88" s="63" t="str">
        <f t="shared" si="7"/>
        <v/>
      </c>
      <c r="F88" s="64"/>
      <c r="G88" s="13"/>
      <c r="H88" s="63" t="str">
        <f t="shared" si="5"/>
        <v/>
      </c>
      <c r="I88" s="64"/>
      <c r="J88" s="15"/>
      <c r="K88" s="66"/>
    </row>
    <row r="89" spans="2:11" ht="22.5" customHeight="1" x14ac:dyDescent="0.3">
      <c r="B89" s="58" t="s">
        <v>16</v>
      </c>
      <c r="C89" s="5" t="s">
        <v>8</v>
      </c>
      <c r="D89" s="5" t="s">
        <v>10</v>
      </c>
      <c r="E89" s="61" t="s">
        <v>13</v>
      </c>
      <c r="F89" s="62"/>
      <c r="G89" s="12" t="s">
        <v>11</v>
      </c>
      <c r="H89" s="61" t="s">
        <v>12</v>
      </c>
      <c r="I89" s="62"/>
      <c r="J89" s="12" t="s">
        <v>14</v>
      </c>
      <c r="K89" s="12" t="s">
        <v>32</v>
      </c>
    </row>
    <row r="90" spans="2:11" ht="22.5" customHeight="1" x14ac:dyDescent="0.3">
      <c r="B90" s="59"/>
      <c r="C90" s="1" t="s">
        <v>0</v>
      </c>
      <c r="D90" s="8" t="str">
        <f>IF(VLOOKUP(G90,$C$44:$E$75,2,FALSE)="","",VLOOKUP(G90,$C$44:$E$75,2,FALSE))</f>
        <v/>
      </c>
      <c r="E90" s="63" t="str">
        <f>IF(VLOOKUP(G90,$C$44:$E$75,3,FALSE)="","",VLOOKUP(G90,$C$44:$E$75,3,FALSE))</f>
        <v/>
      </c>
      <c r="F90" s="64"/>
      <c r="G90" s="13"/>
      <c r="H90" s="63" t="str">
        <f>IFERROR(VLOOKUP(G90,$G$44:$H$75,2,FALSE),"")</f>
        <v/>
      </c>
      <c r="I90" s="64"/>
      <c r="J90" s="15"/>
      <c r="K90" s="54"/>
    </row>
    <row r="91" spans="2:11" ht="22.5" customHeight="1" x14ac:dyDescent="0.3">
      <c r="B91" s="59"/>
      <c r="C91" s="1" t="s">
        <v>1</v>
      </c>
      <c r="D91" s="8" t="str">
        <f t="shared" ref="D91:D92" si="8">IF(VLOOKUP(G91,$C$44:$E$75,2,FALSE)="","",VLOOKUP(G91,$C$44:$E$75,2,FALSE))</f>
        <v/>
      </c>
      <c r="E91" s="63" t="str">
        <f t="shared" ref="E91:E92" si="9">IF(VLOOKUP(G91,$C$44:$E$75,3,FALSE)="","",VLOOKUP(G91,$C$44:$E$75,3,FALSE))</f>
        <v/>
      </c>
      <c r="F91" s="64"/>
      <c r="G91" s="13"/>
      <c r="H91" s="63" t="str">
        <f t="shared" ref="H91:H98" si="10">IFERROR(VLOOKUP(G91,$G$44:$H$75,2,FALSE),"")</f>
        <v/>
      </c>
      <c r="I91" s="64"/>
      <c r="J91" s="15"/>
      <c r="K91" s="65"/>
    </row>
    <row r="92" spans="2:11" ht="22.5" customHeight="1" x14ac:dyDescent="0.3">
      <c r="B92" s="59"/>
      <c r="C92" s="1" t="s">
        <v>2</v>
      </c>
      <c r="D92" s="8" t="str">
        <f t="shared" si="8"/>
        <v/>
      </c>
      <c r="E92" s="63" t="str">
        <f t="shared" si="9"/>
        <v/>
      </c>
      <c r="F92" s="64"/>
      <c r="G92" s="13"/>
      <c r="H92" s="63" t="str">
        <f t="shared" si="10"/>
        <v/>
      </c>
      <c r="I92" s="64"/>
      <c r="J92" s="15"/>
      <c r="K92" s="65"/>
    </row>
    <row r="93" spans="2:11" ht="22.5" customHeight="1" x14ac:dyDescent="0.3">
      <c r="B93" s="59"/>
      <c r="C93" s="2" t="s">
        <v>18</v>
      </c>
      <c r="D93" s="7"/>
      <c r="E93" s="67"/>
      <c r="F93" s="68"/>
      <c r="G93" s="17"/>
      <c r="H93" s="67"/>
      <c r="I93" s="68"/>
      <c r="J93" s="16"/>
      <c r="K93" s="65"/>
    </row>
    <row r="94" spans="2:11" ht="22.5" customHeight="1" x14ac:dyDescent="0.3">
      <c r="B94" s="59"/>
      <c r="C94" s="1" t="s">
        <v>3</v>
      </c>
      <c r="D94" s="8" t="str">
        <f>IF(VLOOKUP(G94,$C$44:$E$75,2,FALSE)="","",VLOOKUP(G94,$C$44:$E$75,2,FALSE))</f>
        <v/>
      </c>
      <c r="E94" s="63" t="str">
        <f>IF(VLOOKUP(G94,$C$44:$E$75,3,FALSE)="","",VLOOKUP(G94,$C$44:$E$75,3,FALSE))</f>
        <v/>
      </c>
      <c r="F94" s="64"/>
      <c r="G94" s="13"/>
      <c r="H94" s="63" t="str">
        <f t="shared" si="10"/>
        <v/>
      </c>
      <c r="I94" s="64"/>
      <c r="J94" s="15"/>
      <c r="K94" s="65"/>
    </row>
    <row r="95" spans="2:11" ht="22.5" customHeight="1" x14ac:dyDescent="0.3">
      <c r="B95" s="59"/>
      <c r="C95" s="1" t="s">
        <v>4</v>
      </c>
      <c r="D95" s="8" t="str">
        <f t="shared" ref="D95:D98" si="11">IF(VLOOKUP(G95,$C$44:$E$75,2,FALSE)="","",VLOOKUP(G95,$C$44:$E$75,2,FALSE))</f>
        <v/>
      </c>
      <c r="E95" s="63" t="str">
        <f t="shared" ref="E95:E98" si="12">IF(VLOOKUP(G95,$C$44:$E$75,3,FALSE)="","",VLOOKUP(G95,$C$44:$E$75,3,FALSE))</f>
        <v/>
      </c>
      <c r="F95" s="64"/>
      <c r="G95" s="13"/>
      <c r="H95" s="63" t="str">
        <f t="shared" si="10"/>
        <v/>
      </c>
      <c r="I95" s="64"/>
      <c r="J95" s="15"/>
      <c r="K95" s="65"/>
    </row>
    <row r="96" spans="2:11" ht="22.5" customHeight="1" x14ac:dyDescent="0.3">
      <c r="B96" s="59"/>
      <c r="C96" s="1" t="s">
        <v>5</v>
      </c>
      <c r="D96" s="8" t="str">
        <f t="shared" si="11"/>
        <v/>
      </c>
      <c r="E96" s="63" t="str">
        <f t="shared" si="12"/>
        <v/>
      </c>
      <c r="F96" s="64"/>
      <c r="G96" s="13"/>
      <c r="H96" s="63" t="str">
        <f t="shared" si="10"/>
        <v/>
      </c>
      <c r="I96" s="64"/>
      <c r="J96" s="15"/>
      <c r="K96" s="65"/>
    </row>
    <row r="97" spans="2:11" ht="22.5" customHeight="1" x14ac:dyDescent="0.3">
      <c r="B97" s="59"/>
      <c r="C97" s="1" t="s">
        <v>6</v>
      </c>
      <c r="D97" s="8" t="str">
        <f t="shared" si="11"/>
        <v/>
      </c>
      <c r="E97" s="63" t="str">
        <f t="shared" si="12"/>
        <v/>
      </c>
      <c r="F97" s="64"/>
      <c r="G97" s="13"/>
      <c r="H97" s="63" t="str">
        <f t="shared" si="10"/>
        <v/>
      </c>
      <c r="I97" s="64"/>
      <c r="J97" s="15"/>
      <c r="K97" s="65"/>
    </row>
    <row r="98" spans="2:11" ht="22.5" customHeight="1" x14ac:dyDescent="0.3">
      <c r="B98" s="60"/>
      <c r="C98" s="1" t="s">
        <v>7</v>
      </c>
      <c r="D98" s="8" t="str">
        <f t="shared" si="11"/>
        <v/>
      </c>
      <c r="E98" s="63" t="str">
        <f t="shared" si="12"/>
        <v/>
      </c>
      <c r="F98" s="64"/>
      <c r="G98" s="13"/>
      <c r="H98" s="63" t="str">
        <f t="shared" si="10"/>
        <v/>
      </c>
      <c r="I98" s="64"/>
      <c r="J98" s="15"/>
      <c r="K98" s="66"/>
    </row>
    <row r="99" spans="2:11" ht="22.5" customHeight="1" x14ac:dyDescent="0.3">
      <c r="B99" s="58" t="s">
        <v>17</v>
      </c>
      <c r="C99" s="5" t="s">
        <v>8</v>
      </c>
      <c r="D99" s="5" t="s">
        <v>10</v>
      </c>
      <c r="E99" s="61" t="s">
        <v>13</v>
      </c>
      <c r="F99" s="62"/>
      <c r="G99" s="12" t="s">
        <v>11</v>
      </c>
      <c r="H99" s="61" t="s">
        <v>12</v>
      </c>
      <c r="I99" s="62"/>
      <c r="J99" s="12" t="s">
        <v>14</v>
      </c>
      <c r="K99" s="12" t="s">
        <v>33</v>
      </c>
    </row>
    <row r="100" spans="2:11" ht="22.5" customHeight="1" x14ac:dyDescent="0.3">
      <c r="B100" s="59"/>
      <c r="C100" s="1" t="s">
        <v>0</v>
      </c>
      <c r="D100" s="8" t="str">
        <f>IF(VLOOKUP(G100,$C$44:$E$75,2,FALSE)="","",VLOOKUP(G100,$C$44:$E$75,2,FALSE))</f>
        <v/>
      </c>
      <c r="E100" s="63" t="str">
        <f>IF(VLOOKUP(G100,$C$44:$E$75,3,FALSE)="","",VLOOKUP(G100,$C$44:$E$75,3,FALSE))</f>
        <v/>
      </c>
      <c r="F100" s="64"/>
      <c r="G100" s="13"/>
      <c r="H100" s="63" t="str">
        <f>IFERROR(VLOOKUP(G100,$G$44:$H$75,2,FALSE),"")</f>
        <v/>
      </c>
      <c r="I100" s="64"/>
      <c r="J100" s="15"/>
      <c r="K100" s="54"/>
    </row>
    <row r="101" spans="2:11" ht="22.5" customHeight="1" x14ac:dyDescent="0.3">
      <c r="B101" s="59"/>
      <c r="C101" s="1" t="s">
        <v>1</v>
      </c>
      <c r="D101" s="8" t="str">
        <f t="shared" ref="D101:D102" si="13">IF(VLOOKUP(G101,$C$44:$E$75,2,FALSE)="","",VLOOKUP(G101,$C$44:$E$75,2,FALSE))</f>
        <v/>
      </c>
      <c r="E101" s="63" t="str">
        <f t="shared" ref="E101:E102" si="14">IF(VLOOKUP(G101,$C$44:$E$75,3,FALSE)="","",VLOOKUP(G101,$C$44:$E$75,3,FALSE))</f>
        <v/>
      </c>
      <c r="F101" s="64"/>
      <c r="G101" s="13"/>
      <c r="H101" s="63" t="str">
        <f t="shared" ref="H101:H108" si="15">IFERROR(VLOOKUP(G101,$G$44:$H$75,2,FALSE),"")</f>
        <v/>
      </c>
      <c r="I101" s="64"/>
      <c r="J101" s="15"/>
      <c r="K101" s="65"/>
    </row>
    <row r="102" spans="2:11" ht="22.5" customHeight="1" x14ac:dyDescent="0.3">
      <c r="B102" s="59"/>
      <c r="C102" s="1" t="s">
        <v>2</v>
      </c>
      <c r="D102" s="8" t="str">
        <f t="shared" si="13"/>
        <v/>
      </c>
      <c r="E102" s="63" t="str">
        <f t="shared" si="14"/>
        <v/>
      </c>
      <c r="F102" s="64"/>
      <c r="G102" s="13"/>
      <c r="H102" s="63" t="str">
        <f t="shared" si="15"/>
        <v/>
      </c>
      <c r="I102" s="64"/>
      <c r="J102" s="15"/>
      <c r="K102" s="65"/>
    </row>
    <row r="103" spans="2:11" ht="22.5" customHeight="1" x14ac:dyDescent="0.3">
      <c r="B103" s="59"/>
      <c r="C103" s="2" t="s">
        <v>18</v>
      </c>
      <c r="D103" s="7"/>
      <c r="E103" s="67"/>
      <c r="F103" s="68"/>
      <c r="G103" s="17"/>
      <c r="H103" s="67"/>
      <c r="I103" s="68"/>
      <c r="J103" s="16"/>
      <c r="K103" s="65"/>
    </row>
    <row r="104" spans="2:11" ht="22.5" customHeight="1" x14ac:dyDescent="0.3">
      <c r="B104" s="59"/>
      <c r="C104" s="1" t="s">
        <v>3</v>
      </c>
      <c r="D104" s="8" t="str">
        <f>IF(VLOOKUP(G104,$C$44:$E$75,2,FALSE)="","",VLOOKUP(G104,$C$44:$E$75,2,FALSE))</f>
        <v/>
      </c>
      <c r="E104" s="63" t="str">
        <f>IF(VLOOKUP(G104,$C$44:$E$75,3,FALSE)="","",VLOOKUP(G104,$C$44:$E$75,3,FALSE))</f>
        <v/>
      </c>
      <c r="F104" s="64"/>
      <c r="G104" s="13"/>
      <c r="H104" s="63" t="str">
        <f t="shared" si="15"/>
        <v/>
      </c>
      <c r="I104" s="64"/>
      <c r="J104" s="15"/>
      <c r="K104" s="65"/>
    </row>
    <row r="105" spans="2:11" ht="22.5" customHeight="1" x14ac:dyDescent="0.3">
      <c r="B105" s="59"/>
      <c r="C105" s="1" t="s">
        <v>4</v>
      </c>
      <c r="D105" s="8" t="str">
        <f t="shared" ref="D105:D108" si="16">IF(VLOOKUP(G105,$C$44:$E$75,2,FALSE)="","",VLOOKUP(G105,$C$44:$E$75,2,FALSE))</f>
        <v/>
      </c>
      <c r="E105" s="63" t="str">
        <f t="shared" ref="E105:E108" si="17">IF(VLOOKUP(G105,$C$44:$E$75,3,FALSE)="","",VLOOKUP(G105,$C$44:$E$75,3,FALSE))</f>
        <v/>
      </c>
      <c r="F105" s="64"/>
      <c r="G105" s="13"/>
      <c r="H105" s="63" t="str">
        <f t="shared" si="15"/>
        <v/>
      </c>
      <c r="I105" s="64"/>
      <c r="J105" s="15"/>
      <c r="K105" s="65"/>
    </row>
    <row r="106" spans="2:11" ht="22.5" customHeight="1" x14ac:dyDescent="0.3">
      <c r="B106" s="59"/>
      <c r="C106" s="1" t="s">
        <v>5</v>
      </c>
      <c r="D106" s="8" t="str">
        <f t="shared" si="16"/>
        <v/>
      </c>
      <c r="E106" s="63" t="str">
        <f t="shared" si="17"/>
        <v/>
      </c>
      <c r="F106" s="64"/>
      <c r="G106" s="13"/>
      <c r="H106" s="63" t="str">
        <f t="shared" si="15"/>
        <v/>
      </c>
      <c r="I106" s="64"/>
      <c r="J106" s="15"/>
      <c r="K106" s="65"/>
    </row>
    <row r="107" spans="2:11" ht="22.5" customHeight="1" x14ac:dyDescent="0.3">
      <c r="B107" s="59"/>
      <c r="C107" s="1" t="s">
        <v>6</v>
      </c>
      <c r="D107" s="8" t="str">
        <f t="shared" si="16"/>
        <v/>
      </c>
      <c r="E107" s="63" t="str">
        <f t="shared" si="17"/>
        <v/>
      </c>
      <c r="F107" s="64"/>
      <c r="G107" s="13"/>
      <c r="H107" s="63" t="str">
        <f t="shared" si="15"/>
        <v/>
      </c>
      <c r="I107" s="64"/>
      <c r="J107" s="15"/>
      <c r="K107" s="65"/>
    </row>
    <row r="108" spans="2:11" ht="22.5" customHeight="1" x14ac:dyDescent="0.3">
      <c r="B108" s="60"/>
      <c r="C108" s="1" t="s">
        <v>7</v>
      </c>
      <c r="D108" s="8" t="str">
        <f t="shared" si="16"/>
        <v/>
      </c>
      <c r="E108" s="63" t="str">
        <f t="shared" si="17"/>
        <v/>
      </c>
      <c r="F108" s="64"/>
      <c r="G108" s="13"/>
      <c r="H108" s="63" t="str">
        <f t="shared" si="15"/>
        <v/>
      </c>
      <c r="I108" s="64"/>
      <c r="J108" s="15"/>
      <c r="K108" s="66"/>
    </row>
    <row r="109" spans="2:11" ht="22.5" customHeight="1" x14ac:dyDescent="0.3">
      <c r="B109" s="58" t="s">
        <v>19</v>
      </c>
      <c r="C109" s="5" t="s">
        <v>8</v>
      </c>
      <c r="D109" s="5" t="s">
        <v>10</v>
      </c>
      <c r="E109" s="61" t="s">
        <v>13</v>
      </c>
      <c r="F109" s="62"/>
      <c r="G109" s="12" t="s">
        <v>11</v>
      </c>
      <c r="H109" s="61" t="s">
        <v>12</v>
      </c>
      <c r="I109" s="62"/>
      <c r="J109" s="12" t="s">
        <v>14</v>
      </c>
      <c r="K109" s="12" t="s">
        <v>34</v>
      </c>
    </row>
    <row r="110" spans="2:11" ht="22.5" customHeight="1" x14ac:dyDescent="0.3">
      <c r="B110" s="59"/>
      <c r="C110" s="1" t="s">
        <v>0</v>
      </c>
      <c r="D110" s="8" t="str">
        <f>IF(VLOOKUP(G110,$C$44:$E$75,2,FALSE)="","",VLOOKUP(G110,$C$44:$E$75,2,FALSE))</f>
        <v/>
      </c>
      <c r="E110" s="63" t="str">
        <f>IF(VLOOKUP(G110,$C$44:$E$75,3,FALSE)="","",VLOOKUP(G110,$C$44:$E$75,3,FALSE))</f>
        <v/>
      </c>
      <c r="F110" s="64"/>
      <c r="G110" s="13"/>
      <c r="H110" s="63" t="str">
        <f>IFERROR(VLOOKUP(G110,$G$44:$H$75,2,FALSE),"")</f>
        <v/>
      </c>
      <c r="I110" s="64"/>
      <c r="J110" s="15"/>
      <c r="K110" s="54"/>
    </row>
    <row r="111" spans="2:11" ht="22.5" customHeight="1" x14ac:dyDescent="0.3">
      <c r="B111" s="59"/>
      <c r="C111" s="1" t="s">
        <v>1</v>
      </c>
      <c r="D111" s="8" t="str">
        <f t="shared" ref="D111:D112" si="18">IF(VLOOKUP(G111,$C$44:$E$75,2,FALSE)="","",VLOOKUP(G111,$C$44:$E$75,2,FALSE))</f>
        <v/>
      </c>
      <c r="E111" s="63" t="str">
        <f t="shared" ref="E111:E112" si="19">IF(VLOOKUP(G111,$C$44:$E$75,3,FALSE)="","",VLOOKUP(G111,$C$44:$E$75,3,FALSE))</f>
        <v/>
      </c>
      <c r="F111" s="64"/>
      <c r="G111" s="13"/>
      <c r="H111" s="63" t="str">
        <f t="shared" ref="H111:H118" si="20">IFERROR(VLOOKUP(G111,$G$44:$H$75,2,FALSE),"")</f>
        <v/>
      </c>
      <c r="I111" s="64"/>
      <c r="J111" s="15"/>
      <c r="K111" s="65"/>
    </row>
    <row r="112" spans="2:11" ht="22.5" customHeight="1" x14ac:dyDescent="0.3">
      <c r="B112" s="59"/>
      <c r="C112" s="1" t="s">
        <v>2</v>
      </c>
      <c r="D112" s="8" t="str">
        <f t="shared" si="18"/>
        <v/>
      </c>
      <c r="E112" s="63" t="str">
        <f t="shared" si="19"/>
        <v/>
      </c>
      <c r="F112" s="64"/>
      <c r="G112" s="13"/>
      <c r="H112" s="63" t="str">
        <f t="shared" si="20"/>
        <v/>
      </c>
      <c r="I112" s="64"/>
      <c r="J112" s="15"/>
      <c r="K112" s="65"/>
    </row>
    <row r="113" spans="2:11" ht="22.5" customHeight="1" x14ac:dyDescent="0.3">
      <c r="B113" s="59"/>
      <c r="C113" s="2" t="s">
        <v>18</v>
      </c>
      <c r="D113" s="7"/>
      <c r="E113" s="67"/>
      <c r="F113" s="68"/>
      <c r="G113" s="17"/>
      <c r="H113" s="67"/>
      <c r="I113" s="68"/>
      <c r="J113" s="16"/>
      <c r="K113" s="65"/>
    </row>
    <row r="114" spans="2:11" ht="22.5" customHeight="1" x14ac:dyDescent="0.3">
      <c r="B114" s="59"/>
      <c r="C114" s="1" t="s">
        <v>3</v>
      </c>
      <c r="D114" s="8" t="str">
        <f>IF(VLOOKUP(G114,$C$44:$E$75,2,FALSE)="","",VLOOKUP(G114,$C$44:$E$75,2,FALSE))</f>
        <v/>
      </c>
      <c r="E114" s="63" t="str">
        <f>IF(VLOOKUP(G114,$C$44:$E$75,3,FALSE)="","",VLOOKUP(G114,$C$44:$E$75,3,FALSE))</f>
        <v/>
      </c>
      <c r="F114" s="64"/>
      <c r="G114" s="13"/>
      <c r="H114" s="63" t="str">
        <f t="shared" si="20"/>
        <v/>
      </c>
      <c r="I114" s="64"/>
      <c r="J114" s="15"/>
      <c r="K114" s="65"/>
    </row>
    <row r="115" spans="2:11" ht="22.5" customHeight="1" x14ac:dyDescent="0.3">
      <c r="B115" s="59"/>
      <c r="C115" s="1" t="s">
        <v>4</v>
      </c>
      <c r="D115" s="8" t="str">
        <f t="shared" ref="D115:D118" si="21">IF(VLOOKUP(G115,$C$44:$E$75,2,FALSE)="","",VLOOKUP(G115,$C$44:$E$75,2,FALSE))</f>
        <v/>
      </c>
      <c r="E115" s="63" t="str">
        <f t="shared" ref="E115:E118" si="22">IF(VLOOKUP(G115,$C$44:$E$75,3,FALSE)="","",VLOOKUP(G115,$C$44:$E$75,3,FALSE))</f>
        <v/>
      </c>
      <c r="F115" s="64"/>
      <c r="G115" s="13"/>
      <c r="H115" s="63" t="str">
        <f t="shared" si="20"/>
        <v/>
      </c>
      <c r="I115" s="64"/>
      <c r="J115" s="15"/>
      <c r="K115" s="65"/>
    </row>
    <row r="116" spans="2:11" ht="22.5" customHeight="1" x14ac:dyDescent="0.3">
      <c r="B116" s="59"/>
      <c r="C116" s="1" t="s">
        <v>5</v>
      </c>
      <c r="D116" s="8" t="str">
        <f t="shared" si="21"/>
        <v/>
      </c>
      <c r="E116" s="63" t="str">
        <f t="shared" si="22"/>
        <v/>
      </c>
      <c r="F116" s="64"/>
      <c r="G116" s="13"/>
      <c r="H116" s="63" t="str">
        <f t="shared" si="20"/>
        <v/>
      </c>
      <c r="I116" s="64"/>
      <c r="J116" s="15"/>
      <c r="K116" s="65"/>
    </row>
    <row r="117" spans="2:11" ht="22.5" customHeight="1" x14ac:dyDescent="0.3">
      <c r="B117" s="59"/>
      <c r="C117" s="1" t="s">
        <v>6</v>
      </c>
      <c r="D117" s="8" t="str">
        <f t="shared" si="21"/>
        <v/>
      </c>
      <c r="E117" s="63" t="str">
        <f t="shared" si="22"/>
        <v/>
      </c>
      <c r="F117" s="64"/>
      <c r="G117" s="13"/>
      <c r="H117" s="63" t="str">
        <f t="shared" si="20"/>
        <v/>
      </c>
      <c r="I117" s="64"/>
      <c r="J117" s="15"/>
      <c r="K117" s="65"/>
    </row>
    <row r="118" spans="2:11" ht="22.5" customHeight="1" x14ac:dyDescent="0.3">
      <c r="B118" s="60"/>
      <c r="C118" s="1" t="s">
        <v>7</v>
      </c>
      <c r="D118" s="8" t="str">
        <f t="shared" si="21"/>
        <v/>
      </c>
      <c r="E118" s="63" t="str">
        <f t="shared" si="22"/>
        <v/>
      </c>
      <c r="F118" s="64"/>
      <c r="G118" s="13"/>
      <c r="H118" s="63" t="str">
        <f t="shared" si="20"/>
        <v/>
      </c>
      <c r="I118" s="64"/>
      <c r="J118" s="15"/>
      <c r="K118" s="66"/>
    </row>
    <row r="119" spans="2:11" ht="22.5" customHeight="1" x14ac:dyDescent="0.3">
      <c r="B119" s="58" t="s">
        <v>20</v>
      </c>
      <c r="C119" s="5" t="s">
        <v>8</v>
      </c>
      <c r="D119" s="5" t="s">
        <v>10</v>
      </c>
      <c r="E119" s="61" t="s">
        <v>13</v>
      </c>
      <c r="F119" s="62"/>
      <c r="G119" s="12" t="s">
        <v>11</v>
      </c>
      <c r="H119" s="61" t="s">
        <v>12</v>
      </c>
      <c r="I119" s="62"/>
      <c r="J119" s="12" t="s">
        <v>14</v>
      </c>
      <c r="K119" s="12" t="s">
        <v>35</v>
      </c>
    </row>
    <row r="120" spans="2:11" ht="22.5" customHeight="1" x14ac:dyDescent="0.3">
      <c r="B120" s="59"/>
      <c r="C120" s="1" t="s">
        <v>0</v>
      </c>
      <c r="D120" s="8" t="str">
        <f>IF(VLOOKUP(G120,$C$44:$E$75,2,FALSE)="","",VLOOKUP(G120,$C$44:$E$75,2,FALSE))</f>
        <v/>
      </c>
      <c r="E120" s="63" t="str">
        <f>IF(VLOOKUP(G120,$C$44:$E$75,3,FALSE)="","",VLOOKUP(G120,$C$44:$E$75,3,FALSE))</f>
        <v/>
      </c>
      <c r="F120" s="64"/>
      <c r="G120" s="13"/>
      <c r="H120" s="63" t="str">
        <f>IFERROR(VLOOKUP(G120,$G$44:$H$75,2,FALSE),"")</f>
        <v/>
      </c>
      <c r="I120" s="64"/>
      <c r="J120" s="15"/>
      <c r="K120" s="54"/>
    </row>
    <row r="121" spans="2:11" ht="22.5" customHeight="1" x14ac:dyDescent="0.3">
      <c r="B121" s="59"/>
      <c r="C121" s="1" t="s">
        <v>1</v>
      </c>
      <c r="D121" s="8" t="str">
        <f t="shared" ref="D121:D122" si="23">IF(VLOOKUP(G121,$C$44:$E$75,2,FALSE)="","",VLOOKUP(G121,$C$44:$E$75,2,FALSE))</f>
        <v/>
      </c>
      <c r="E121" s="63" t="str">
        <f t="shared" ref="E121:E122" si="24">IF(VLOOKUP(G121,$C$44:$E$75,3,FALSE)="","",VLOOKUP(G121,$C$44:$E$75,3,FALSE))</f>
        <v/>
      </c>
      <c r="F121" s="64"/>
      <c r="G121" s="13"/>
      <c r="H121" s="63" t="str">
        <f t="shared" ref="H121:H128" si="25">IFERROR(VLOOKUP(G121,$G$44:$H$75,2,FALSE),"")</f>
        <v/>
      </c>
      <c r="I121" s="64"/>
      <c r="J121" s="15"/>
      <c r="K121" s="65"/>
    </row>
    <row r="122" spans="2:11" ht="22.5" customHeight="1" x14ac:dyDescent="0.3">
      <c r="B122" s="59"/>
      <c r="C122" s="1" t="s">
        <v>2</v>
      </c>
      <c r="D122" s="8" t="str">
        <f t="shared" si="23"/>
        <v/>
      </c>
      <c r="E122" s="63" t="str">
        <f t="shared" si="24"/>
        <v/>
      </c>
      <c r="F122" s="64"/>
      <c r="G122" s="13"/>
      <c r="H122" s="63" t="str">
        <f t="shared" si="25"/>
        <v/>
      </c>
      <c r="I122" s="64"/>
      <c r="J122" s="15"/>
      <c r="K122" s="65"/>
    </row>
    <row r="123" spans="2:11" ht="22.5" customHeight="1" x14ac:dyDescent="0.3">
      <c r="B123" s="59"/>
      <c r="C123" s="2" t="s">
        <v>18</v>
      </c>
      <c r="D123" s="7"/>
      <c r="E123" s="67"/>
      <c r="F123" s="68"/>
      <c r="G123" s="17"/>
      <c r="H123" s="67"/>
      <c r="I123" s="68"/>
      <c r="J123" s="16"/>
      <c r="K123" s="65"/>
    </row>
    <row r="124" spans="2:11" ht="22.5" customHeight="1" x14ac:dyDescent="0.3">
      <c r="B124" s="59"/>
      <c r="C124" s="1" t="s">
        <v>3</v>
      </c>
      <c r="D124" s="8" t="str">
        <f>IF(VLOOKUP(G124,$C$44:$E$75,2,FALSE)="","",VLOOKUP(G124,$C$44:$E$75,2,FALSE))</f>
        <v/>
      </c>
      <c r="E124" s="63" t="str">
        <f>IF(VLOOKUP(G124,$C$44:$E$75,3,FALSE)="","",VLOOKUP(G124,$C$44:$E$75,3,FALSE))</f>
        <v/>
      </c>
      <c r="F124" s="64"/>
      <c r="G124" s="13"/>
      <c r="H124" s="63" t="str">
        <f t="shared" si="25"/>
        <v/>
      </c>
      <c r="I124" s="64"/>
      <c r="J124" s="15"/>
      <c r="K124" s="65"/>
    </row>
    <row r="125" spans="2:11" ht="22.5" customHeight="1" x14ac:dyDescent="0.3">
      <c r="B125" s="59"/>
      <c r="C125" s="1" t="s">
        <v>4</v>
      </c>
      <c r="D125" s="8" t="str">
        <f t="shared" ref="D125:D128" si="26">IF(VLOOKUP(G125,$C$44:$E$75,2,FALSE)="","",VLOOKUP(G125,$C$44:$E$75,2,FALSE))</f>
        <v/>
      </c>
      <c r="E125" s="63" t="str">
        <f t="shared" ref="E125:E128" si="27">IF(VLOOKUP(G125,$C$44:$E$75,3,FALSE)="","",VLOOKUP(G125,$C$44:$E$75,3,FALSE))</f>
        <v/>
      </c>
      <c r="F125" s="64"/>
      <c r="G125" s="13"/>
      <c r="H125" s="63" t="str">
        <f t="shared" si="25"/>
        <v/>
      </c>
      <c r="I125" s="64"/>
      <c r="J125" s="15"/>
      <c r="K125" s="65"/>
    </row>
    <row r="126" spans="2:11" ht="22.5" customHeight="1" x14ac:dyDescent="0.3">
      <c r="B126" s="59"/>
      <c r="C126" s="1" t="s">
        <v>5</v>
      </c>
      <c r="D126" s="8" t="str">
        <f t="shared" si="26"/>
        <v/>
      </c>
      <c r="E126" s="63" t="str">
        <f t="shared" si="27"/>
        <v/>
      </c>
      <c r="F126" s="64"/>
      <c r="G126" s="13"/>
      <c r="H126" s="63" t="str">
        <f t="shared" si="25"/>
        <v/>
      </c>
      <c r="I126" s="64"/>
      <c r="J126" s="15"/>
      <c r="K126" s="65"/>
    </row>
    <row r="127" spans="2:11" ht="22.5" customHeight="1" x14ac:dyDescent="0.3">
      <c r="B127" s="59"/>
      <c r="C127" s="1" t="s">
        <v>6</v>
      </c>
      <c r="D127" s="8" t="str">
        <f t="shared" si="26"/>
        <v/>
      </c>
      <c r="E127" s="63" t="str">
        <f t="shared" si="27"/>
        <v/>
      </c>
      <c r="F127" s="64"/>
      <c r="G127" s="13"/>
      <c r="H127" s="63" t="str">
        <f t="shared" si="25"/>
        <v/>
      </c>
      <c r="I127" s="64"/>
      <c r="J127" s="15"/>
      <c r="K127" s="65"/>
    </row>
    <row r="128" spans="2:11" ht="22.5" customHeight="1" x14ac:dyDescent="0.3">
      <c r="B128" s="60"/>
      <c r="C128" s="1" t="s">
        <v>7</v>
      </c>
      <c r="D128" s="8" t="str">
        <f t="shared" si="26"/>
        <v/>
      </c>
      <c r="E128" s="63" t="str">
        <f t="shared" si="27"/>
        <v/>
      </c>
      <c r="F128" s="64"/>
      <c r="G128" s="13"/>
      <c r="H128" s="63" t="str">
        <f t="shared" si="25"/>
        <v/>
      </c>
      <c r="I128" s="64"/>
      <c r="J128" s="15"/>
      <c r="K128" s="66"/>
    </row>
    <row r="129" spans="11:11" ht="22.5" customHeight="1" x14ac:dyDescent="0.3">
      <c r="K129" s="11">
        <f>COUNTA(K80,K90,K100,K110,K120)</f>
        <v>0</v>
      </c>
    </row>
    <row r="130" spans="11:11" ht="22.5" customHeight="1" x14ac:dyDescent="0.3"/>
    <row r="131" spans="11:11" ht="22.5" customHeight="1" x14ac:dyDescent="0.3"/>
    <row r="132" spans="11:11" ht="22.5" customHeight="1" x14ac:dyDescent="0.3"/>
    <row r="133" spans="11:11" ht="22.5" customHeight="1" x14ac:dyDescent="0.3"/>
    <row r="134" spans="11:11" ht="22.5" customHeight="1" x14ac:dyDescent="0.3"/>
    <row r="135" spans="11:11" ht="22.5" customHeight="1" x14ac:dyDescent="0.3"/>
    <row r="136" spans="11:11" ht="22.5" customHeight="1" x14ac:dyDescent="0.3"/>
    <row r="137" spans="11:11" ht="22.5" customHeight="1" x14ac:dyDescent="0.3"/>
    <row r="138" spans="11:11" ht="22.5" customHeight="1" x14ac:dyDescent="0.3"/>
    <row r="139" spans="11:11" ht="22.5" customHeight="1" x14ac:dyDescent="0.3"/>
    <row r="140" spans="11:11" ht="22.5" customHeight="1" x14ac:dyDescent="0.3"/>
  </sheetData>
  <mergeCells count="185">
    <mergeCell ref="C37:I37"/>
    <mergeCell ref="J37:K37"/>
    <mergeCell ref="C38:I38"/>
    <mergeCell ref="J38:K38"/>
    <mergeCell ref="C39:I39"/>
    <mergeCell ref="J39:K39"/>
    <mergeCell ref="J30:K30"/>
    <mergeCell ref="J31:K31"/>
    <mergeCell ref="J32:K32"/>
    <mergeCell ref="J33:K33"/>
    <mergeCell ref="J34:K34"/>
    <mergeCell ref="C35:I35"/>
    <mergeCell ref="J35:K35"/>
    <mergeCell ref="C36:I36"/>
    <mergeCell ref="J36:K36"/>
    <mergeCell ref="C29:I29"/>
    <mergeCell ref="C30:I30"/>
    <mergeCell ref="C31:I31"/>
    <mergeCell ref="C32:I32"/>
    <mergeCell ref="C33:I33"/>
    <mergeCell ref="C34:I34"/>
    <mergeCell ref="C4:I4"/>
    <mergeCell ref="J4:K4"/>
    <mergeCell ref="B119:B128"/>
    <mergeCell ref="E119:F119"/>
    <mergeCell ref="H119:I119"/>
    <mergeCell ref="E120:F120"/>
    <mergeCell ref="H120:I120"/>
    <mergeCell ref="K120:K128"/>
    <mergeCell ref="E121:F121"/>
    <mergeCell ref="H121:I121"/>
    <mergeCell ref="E122:F122"/>
    <mergeCell ref="H122:I122"/>
    <mergeCell ref="E126:F126"/>
    <mergeCell ref="H126:I126"/>
    <mergeCell ref="E127:F127"/>
    <mergeCell ref="H127:I127"/>
    <mergeCell ref="E128:F128"/>
    <mergeCell ref="H128:I128"/>
    <mergeCell ref="E123:F123"/>
    <mergeCell ref="H123:I123"/>
    <mergeCell ref="E124:F124"/>
    <mergeCell ref="H124:I124"/>
    <mergeCell ref="E125:F125"/>
    <mergeCell ref="H125:I12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H83:I83"/>
    <mergeCell ref="E84:F84"/>
    <mergeCell ref="H84:I84"/>
    <mergeCell ref="E85:F85"/>
    <mergeCell ref="H85:I85"/>
    <mergeCell ref="B89:B98"/>
    <mergeCell ref="E89:F89"/>
    <mergeCell ref="H89:I89"/>
    <mergeCell ref="E90:F90"/>
    <mergeCell ref="H90:I90"/>
    <mergeCell ref="B22:B24"/>
    <mergeCell ref="C22:I22"/>
    <mergeCell ref="J22:K22"/>
    <mergeCell ref="C23:I23"/>
    <mergeCell ref="J23:K23"/>
    <mergeCell ref="C24:I24"/>
    <mergeCell ref="J24:K24"/>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C18:I18"/>
    <mergeCell ref="J18:K18"/>
    <mergeCell ref="C5:I5"/>
    <mergeCell ref="C25:I25"/>
    <mergeCell ref="J25:K25"/>
    <mergeCell ref="C26:I26"/>
    <mergeCell ref="J26:K26"/>
    <mergeCell ref="C27:I27"/>
    <mergeCell ref="J27:K27"/>
    <mergeCell ref="J13:K13"/>
    <mergeCell ref="C10:I10"/>
    <mergeCell ref="J10:K10"/>
    <mergeCell ref="C17:I17"/>
    <mergeCell ref="J17:K17"/>
    <mergeCell ref="C11:I11"/>
    <mergeCell ref="C8:I8"/>
    <mergeCell ref="J8:K8"/>
    <mergeCell ref="C15:I15"/>
    <mergeCell ref="J15:K15"/>
    <mergeCell ref="C16:I16"/>
    <mergeCell ref="J16:K16"/>
    <mergeCell ref="A1:K1"/>
    <mergeCell ref="J9:K9"/>
    <mergeCell ref="C14:I14"/>
    <mergeCell ref="J14:K14"/>
    <mergeCell ref="C28:I28"/>
    <mergeCell ref="J28:K28"/>
    <mergeCell ref="C6:I6"/>
    <mergeCell ref="C7:I7"/>
    <mergeCell ref="J5:K5"/>
    <mergeCell ref="J6:K6"/>
    <mergeCell ref="J7:K7"/>
    <mergeCell ref="C2:I2"/>
    <mergeCell ref="J2:K2"/>
    <mergeCell ref="C9:I9"/>
    <mergeCell ref="A12:K12"/>
    <mergeCell ref="C19:I19"/>
    <mergeCell ref="J19:K19"/>
    <mergeCell ref="C20:I20"/>
    <mergeCell ref="J20:K20"/>
    <mergeCell ref="C21:I21"/>
    <mergeCell ref="J21:K21"/>
    <mergeCell ref="C3:I3"/>
    <mergeCell ref="J3:K3"/>
    <mergeCell ref="C13:I1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A696462-5653-4BF9-9753-28DE80BB5BA4}">
          <x14:formula1>
            <xm:f>통합!$A$2:$A$43</xm:f>
          </x14:formula1>
          <xm:sqref>J44:J75</xm:sqref>
        </x14:dataValidation>
        <x14:dataValidation type="list" allowBlank="1" showInputMessage="1" showErrorMessage="1" xr:uid="{E2A8BE90-F16A-4451-A916-D5743EE10FF0}">
          <x14:formula1>
            <xm:f>통합!$A$2:$A$52</xm:f>
          </x14:formula1>
          <xm:sqref>C2:I2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A21E-9A7D-47A6-B2BE-A6C5D5A0062F}">
  <sheetPr codeName="Sheet7"/>
  <dimension ref="B1:P110"/>
  <sheetViews>
    <sheetView zoomScaleNormal="100" workbookViewId="0">
      <selection activeCell="C11" sqref="C11:I11"/>
    </sheetView>
  </sheetViews>
  <sheetFormatPr defaultRowHeight="16.5" x14ac:dyDescent="0.3"/>
  <cols>
    <col min="1" max="1" width="10.6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2:16" ht="21.75" customHeight="1" x14ac:dyDescent="0.3">
      <c r="B1" s="4" t="s">
        <v>23</v>
      </c>
      <c r="C1" s="43"/>
      <c r="D1" s="43"/>
      <c r="E1" s="43"/>
      <c r="F1" s="43"/>
      <c r="G1" s="43"/>
      <c r="H1" s="43"/>
      <c r="I1" s="44"/>
      <c r="J1" s="45" t="s">
        <v>36</v>
      </c>
      <c r="K1" s="45"/>
      <c r="L1" s="10"/>
      <c r="M1" s="10"/>
      <c r="N1" s="10"/>
      <c r="O1" s="10"/>
      <c r="P1" s="10"/>
    </row>
    <row r="2" spans="2:16" ht="21.75" customHeight="1" x14ac:dyDescent="0.3">
      <c r="B2" s="4" t="s">
        <v>21</v>
      </c>
      <c r="C2" s="43"/>
      <c r="D2" s="43"/>
      <c r="E2" s="43"/>
      <c r="F2" s="43"/>
      <c r="G2" s="43"/>
      <c r="H2" s="43"/>
      <c r="I2" s="44"/>
      <c r="J2" s="45" t="s">
        <v>37</v>
      </c>
      <c r="K2" s="45"/>
      <c r="L2" s="10"/>
      <c r="M2" s="10"/>
      <c r="N2" s="10"/>
      <c r="O2" s="10"/>
      <c r="P2" s="10"/>
    </row>
    <row r="3" spans="2:16" ht="21.75" customHeight="1" x14ac:dyDescent="0.3">
      <c r="B3" s="4" t="s">
        <v>24</v>
      </c>
      <c r="C3" s="43"/>
      <c r="D3" s="43"/>
      <c r="E3" s="43"/>
      <c r="F3" s="43"/>
      <c r="G3" s="43"/>
      <c r="H3" s="43"/>
      <c r="I3" s="44"/>
      <c r="J3" s="45" t="s">
        <v>38</v>
      </c>
      <c r="K3" s="45"/>
      <c r="L3" s="10"/>
      <c r="M3" s="10"/>
      <c r="N3" s="10"/>
      <c r="O3" s="10"/>
      <c r="P3" s="10"/>
    </row>
    <row r="4" spans="2:16" ht="44.25" customHeight="1" x14ac:dyDescent="0.3">
      <c r="B4" s="4" t="s">
        <v>22</v>
      </c>
      <c r="C4" s="47"/>
      <c r="D4" s="43"/>
      <c r="E4" s="43"/>
      <c r="F4" s="43"/>
      <c r="G4" s="43"/>
      <c r="H4" s="43"/>
      <c r="I4" s="44"/>
      <c r="J4" s="45" t="s">
        <v>39</v>
      </c>
      <c r="K4" s="45"/>
      <c r="L4" s="10"/>
      <c r="M4" s="10"/>
      <c r="N4" s="10"/>
      <c r="O4" s="10"/>
      <c r="P4" s="10"/>
    </row>
    <row r="5" spans="2:16" ht="28.5" customHeight="1" x14ac:dyDescent="0.3">
      <c r="B5" s="4" t="s">
        <v>25</v>
      </c>
      <c r="C5" s="43"/>
      <c r="D5" s="43"/>
      <c r="E5" s="43"/>
      <c r="F5" s="43"/>
      <c r="G5" s="43"/>
      <c r="H5" s="43"/>
      <c r="I5" s="44"/>
      <c r="J5" s="45" t="s">
        <v>40</v>
      </c>
      <c r="K5" s="45"/>
      <c r="L5" s="10"/>
      <c r="M5" s="10"/>
      <c r="N5" s="10"/>
      <c r="O5" s="10"/>
      <c r="P5" s="10"/>
    </row>
    <row r="6" spans="2:16" ht="78" customHeight="1" x14ac:dyDescent="0.3">
      <c r="B6" s="4" t="s">
        <v>27</v>
      </c>
      <c r="C6" s="47"/>
      <c r="D6" s="43"/>
      <c r="E6" s="43"/>
      <c r="F6" s="43"/>
      <c r="G6" s="43"/>
      <c r="H6" s="43"/>
      <c r="I6" s="44"/>
      <c r="J6" s="45" t="s">
        <v>41</v>
      </c>
      <c r="K6" s="45"/>
      <c r="L6" s="10"/>
      <c r="M6" s="10"/>
      <c r="N6" s="10"/>
      <c r="O6" s="10"/>
      <c r="P6" s="10"/>
    </row>
    <row r="7" spans="2:16" ht="62.25" customHeight="1" x14ac:dyDescent="0.3">
      <c r="B7" s="52" t="s">
        <v>28</v>
      </c>
      <c r="C7" s="47"/>
      <c r="D7" s="43"/>
      <c r="E7" s="43"/>
      <c r="F7" s="43"/>
      <c r="G7" s="43"/>
      <c r="H7" s="43"/>
      <c r="I7" s="44"/>
      <c r="J7" s="45" t="s">
        <v>42</v>
      </c>
      <c r="K7" s="45"/>
      <c r="L7" s="10"/>
      <c r="M7" s="10"/>
      <c r="N7" s="10"/>
      <c r="O7" s="10"/>
      <c r="P7" s="10"/>
    </row>
    <row r="8" spans="2:16" ht="62.25" customHeight="1" x14ac:dyDescent="0.3">
      <c r="B8" s="52"/>
      <c r="C8" s="47"/>
      <c r="D8" s="43"/>
      <c r="E8" s="43"/>
      <c r="F8" s="43"/>
      <c r="G8" s="43"/>
      <c r="H8" s="43"/>
      <c r="I8" s="44"/>
      <c r="J8" s="45" t="s">
        <v>43</v>
      </c>
      <c r="K8" s="45"/>
      <c r="L8" s="10"/>
      <c r="M8" s="10"/>
      <c r="N8" s="10"/>
      <c r="O8" s="10"/>
      <c r="P8" s="10"/>
    </row>
    <row r="9" spans="2:16" ht="62.25" customHeight="1" x14ac:dyDescent="0.3">
      <c r="B9" s="52"/>
      <c r="C9" s="47"/>
      <c r="D9" s="43"/>
      <c r="E9" s="43"/>
      <c r="F9" s="43"/>
      <c r="G9" s="43"/>
      <c r="H9" s="43"/>
      <c r="I9" s="44"/>
      <c r="J9" s="45" t="s">
        <v>44</v>
      </c>
      <c r="K9" s="45"/>
      <c r="L9" s="10"/>
      <c r="M9" s="10"/>
      <c r="N9" s="10"/>
      <c r="O9" s="10"/>
      <c r="P9" s="10"/>
    </row>
    <row r="10" spans="2:16" ht="83.25" customHeight="1" x14ac:dyDescent="0.3">
      <c r="B10" s="6" t="s">
        <v>29</v>
      </c>
      <c r="C10" s="47"/>
      <c r="D10" s="43"/>
      <c r="E10" s="43"/>
      <c r="F10" s="43"/>
      <c r="G10" s="43"/>
      <c r="H10" s="43"/>
      <c r="I10" s="44"/>
      <c r="J10" s="45" t="s">
        <v>45</v>
      </c>
      <c r="K10" s="45"/>
      <c r="L10" s="10"/>
      <c r="M10" s="10"/>
      <c r="N10" s="10"/>
      <c r="O10" s="10"/>
      <c r="P10" s="10"/>
    </row>
    <row r="11" spans="2:16" ht="47.25" customHeight="1" x14ac:dyDescent="0.3">
      <c r="B11" s="6" t="s">
        <v>46</v>
      </c>
      <c r="C11" s="47"/>
      <c r="D11" s="43"/>
      <c r="E11" s="43"/>
      <c r="F11" s="43"/>
      <c r="G11" s="43"/>
      <c r="H11" s="43"/>
      <c r="I11" s="44"/>
      <c r="J11" s="45" t="s">
        <v>47</v>
      </c>
      <c r="K11" s="45"/>
      <c r="L11" s="10"/>
      <c r="M11" s="10"/>
      <c r="N11" s="10"/>
      <c r="O11" s="10"/>
      <c r="P11" s="10"/>
    </row>
    <row r="12" spans="2:16" ht="26.25" customHeight="1" x14ac:dyDescent="0.3">
      <c r="B12" s="4" t="s">
        <v>26</v>
      </c>
      <c r="C12" s="43"/>
      <c r="D12" s="43"/>
      <c r="E12" s="43"/>
      <c r="F12" s="43"/>
      <c r="G12" s="43"/>
      <c r="H12" s="43"/>
      <c r="I12" s="44"/>
      <c r="J12" s="45" t="s">
        <v>48</v>
      </c>
      <c r="K12" s="45"/>
      <c r="L12" s="10"/>
      <c r="M12" s="10"/>
      <c r="N12" s="10"/>
      <c r="O12" s="10"/>
      <c r="P12" s="10"/>
    </row>
    <row r="13" spans="2:16" ht="22.5" customHeight="1" x14ac:dyDescent="0.3"/>
    <row r="14" spans="2:16" ht="22.5" customHeight="1" x14ac:dyDescent="0.3"/>
    <row r="15" spans="2:16" ht="22.5" customHeight="1" x14ac:dyDescent="0.3">
      <c r="D15" s="5" t="s">
        <v>10</v>
      </c>
      <c r="E15" s="5" t="s">
        <v>13</v>
      </c>
      <c r="F15" s="5" t="s">
        <v>15</v>
      </c>
      <c r="G15" s="5" t="s">
        <v>11</v>
      </c>
      <c r="H15" s="5" t="s">
        <v>12</v>
      </c>
      <c r="I15" s="5" t="s">
        <v>15</v>
      </c>
    </row>
    <row r="16" spans="2:16" ht="22.5" customHeight="1" x14ac:dyDescent="0.3">
      <c r="C16" s="9" t="str">
        <f>IFERROR(G16,"")</f>
        <v>2001010211_16v3.1</v>
      </c>
      <c r="D16" s="13" t="s">
        <v>53</v>
      </c>
      <c r="E16" s="13" t="s">
        <v>52</v>
      </c>
      <c r="F16" s="8">
        <f>IF(COUNTIF($D$49:$D$98,D16)=0,"",COUNTIF($D$49:$D$98,D16))</f>
        <v>1</v>
      </c>
      <c r="G16" s="13" t="s">
        <v>50</v>
      </c>
      <c r="H16" s="13" t="s">
        <v>51</v>
      </c>
      <c r="I16" s="8">
        <f>IF(COUNTIF($G$49:$G$98,G16)=0,"",COUNTIF($G$49:$G$98,G16))</f>
        <v>1</v>
      </c>
    </row>
    <row r="17" spans="3:9" ht="22.5" customHeight="1" x14ac:dyDescent="0.3">
      <c r="C17" s="9">
        <f t="shared" ref="C17:C47" si="0">IFERROR(G17,"")</f>
        <v>0</v>
      </c>
      <c r="D17" s="13"/>
      <c r="E17" s="13"/>
      <c r="F17" s="8" t="str">
        <f t="shared" ref="F17:F47" si="1">IF(COUNTIF($D$49:$D$98,D17)=0,"",COUNTIF($D$49:$D$98,D17))</f>
        <v/>
      </c>
      <c r="G17" s="13"/>
      <c r="H17" s="13"/>
      <c r="I17" s="8" t="str">
        <f t="shared" ref="I17:I47" si="2">IF(COUNTIF($G$49:$G$98,G17)=0,"",COUNTIF($G$49:$G$98,G17))</f>
        <v/>
      </c>
    </row>
    <row r="18" spans="3:9" ht="22.5" customHeight="1" x14ac:dyDescent="0.3">
      <c r="C18" s="9">
        <f t="shared" si="0"/>
        <v>0</v>
      </c>
      <c r="D18" s="13"/>
      <c r="E18" s="13"/>
      <c r="F18" s="8" t="str">
        <f t="shared" si="1"/>
        <v/>
      </c>
      <c r="G18" s="14"/>
      <c r="H18" s="13"/>
      <c r="I18" s="8" t="str">
        <f t="shared" si="2"/>
        <v/>
      </c>
    </row>
    <row r="19" spans="3:9" ht="22.5" customHeight="1" x14ac:dyDescent="0.3">
      <c r="C19" s="9">
        <f t="shared" si="0"/>
        <v>0</v>
      </c>
      <c r="D19" s="13"/>
      <c r="E19" s="13"/>
      <c r="F19" s="8" t="str">
        <f t="shared" si="1"/>
        <v/>
      </c>
      <c r="G19" s="13"/>
      <c r="H19" s="13"/>
      <c r="I19" s="8" t="str">
        <f t="shared" si="2"/>
        <v/>
      </c>
    </row>
    <row r="20" spans="3:9" ht="22.5" customHeight="1" x14ac:dyDescent="0.3">
      <c r="C20" s="9">
        <f t="shared" si="0"/>
        <v>0</v>
      </c>
      <c r="D20" s="13"/>
      <c r="E20" s="13"/>
      <c r="F20" s="8" t="str">
        <f t="shared" si="1"/>
        <v/>
      </c>
      <c r="G20" s="13"/>
      <c r="H20" s="13"/>
      <c r="I20" s="8" t="str">
        <f t="shared" si="2"/>
        <v/>
      </c>
    </row>
    <row r="21" spans="3:9" ht="22.5" customHeight="1" x14ac:dyDescent="0.3">
      <c r="C21" s="9">
        <f t="shared" si="0"/>
        <v>0</v>
      </c>
      <c r="D21" s="13"/>
      <c r="E21" s="13"/>
      <c r="F21" s="8" t="str">
        <f t="shared" si="1"/>
        <v/>
      </c>
      <c r="G21" s="13"/>
      <c r="H21" s="13"/>
      <c r="I21" s="8" t="str">
        <f t="shared" si="2"/>
        <v/>
      </c>
    </row>
    <row r="22" spans="3:9" ht="22.5" customHeight="1" x14ac:dyDescent="0.3">
      <c r="C22" s="9">
        <f t="shared" si="0"/>
        <v>0</v>
      </c>
      <c r="D22" s="13"/>
      <c r="E22" s="13"/>
      <c r="F22" s="8" t="str">
        <f t="shared" si="1"/>
        <v/>
      </c>
      <c r="G22" s="13"/>
      <c r="H22" s="13"/>
      <c r="I22" s="8" t="str">
        <f t="shared" si="2"/>
        <v/>
      </c>
    </row>
    <row r="23" spans="3:9" ht="22.5" customHeight="1" x14ac:dyDescent="0.3">
      <c r="C23" s="9">
        <f t="shared" si="0"/>
        <v>0</v>
      </c>
      <c r="D23" s="13"/>
      <c r="E23" s="13"/>
      <c r="F23" s="8" t="str">
        <f t="shared" si="1"/>
        <v/>
      </c>
      <c r="G23" s="13"/>
      <c r="H23" s="13"/>
      <c r="I23" s="8" t="str">
        <f t="shared" si="2"/>
        <v/>
      </c>
    </row>
    <row r="24" spans="3:9" ht="22.5" customHeight="1" x14ac:dyDescent="0.3">
      <c r="C24" s="9">
        <f t="shared" si="0"/>
        <v>0</v>
      </c>
      <c r="D24" s="13"/>
      <c r="E24" s="13"/>
      <c r="F24" s="8" t="str">
        <f t="shared" si="1"/>
        <v/>
      </c>
      <c r="G24" s="13"/>
      <c r="H24" s="13"/>
      <c r="I24" s="8" t="str">
        <f t="shared" si="2"/>
        <v/>
      </c>
    </row>
    <row r="25" spans="3:9" ht="22.5" customHeight="1" x14ac:dyDescent="0.3">
      <c r="C25" s="9">
        <f t="shared" si="0"/>
        <v>0</v>
      </c>
      <c r="D25" s="13"/>
      <c r="E25" s="13"/>
      <c r="F25" s="8" t="str">
        <f t="shared" si="1"/>
        <v/>
      </c>
      <c r="G25" s="13"/>
      <c r="H25" s="13"/>
      <c r="I25" s="8" t="str">
        <f t="shared" si="2"/>
        <v/>
      </c>
    </row>
    <row r="26" spans="3:9" ht="22.5" customHeight="1" x14ac:dyDescent="0.3">
      <c r="C26" s="9">
        <f t="shared" si="0"/>
        <v>0</v>
      </c>
      <c r="D26" s="13"/>
      <c r="E26" s="13"/>
      <c r="F26" s="8" t="str">
        <f t="shared" si="1"/>
        <v/>
      </c>
      <c r="G26" s="13"/>
      <c r="H26" s="13"/>
      <c r="I26" s="8" t="str">
        <f t="shared" si="2"/>
        <v/>
      </c>
    </row>
    <row r="27" spans="3:9" ht="22.5" customHeight="1" x14ac:dyDescent="0.3">
      <c r="C27" s="9">
        <f t="shared" si="0"/>
        <v>0</v>
      </c>
      <c r="D27" s="13"/>
      <c r="E27" s="13"/>
      <c r="F27" s="8" t="str">
        <f t="shared" si="1"/>
        <v/>
      </c>
      <c r="G27" s="13"/>
      <c r="H27" s="13"/>
      <c r="I27" s="8" t="str">
        <f t="shared" si="2"/>
        <v/>
      </c>
    </row>
    <row r="28" spans="3:9" ht="22.5" customHeight="1" x14ac:dyDescent="0.3">
      <c r="C28" s="9">
        <f t="shared" si="0"/>
        <v>0</v>
      </c>
      <c r="D28" s="13"/>
      <c r="E28" s="13"/>
      <c r="F28" s="8" t="str">
        <f t="shared" si="1"/>
        <v/>
      </c>
      <c r="G28" s="13"/>
      <c r="H28" s="13"/>
      <c r="I28" s="8" t="str">
        <f t="shared" si="2"/>
        <v/>
      </c>
    </row>
    <row r="29" spans="3:9" ht="22.5" customHeight="1" x14ac:dyDescent="0.3">
      <c r="C29" s="9">
        <f t="shared" si="0"/>
        <v>0</v>
      </c>
      <c r="D29" s="13"/>
      <c r="E29" s="13"/>
      <c r="F29" s="8" t="str">
        <f t="shared" si="1"/>
        <v/>
      </c>
      <c r="G29" s="13"/>
      <c r="H29" s="13"/>
      <c r="I29" s="8" t="str">
        <f t="shared" si="2"/>
        <v/>
      </c>
    </row>
    <row r="30" spans="3:9" ht="22.5" customHeight="1" x14ac:dyDescent="0.3">
      <c r="C30" s="9">
        <f t="shared" si="0"/>
        <v>0</v>
      </c>
      <c r="D30" s="13"/>
      <c r="E30" s="13"/>
      <c r="F30" s="8" t="str">
        <f t="shared" si="1"/>
        <v/>
      </c>
      <c r="G30" s="13"/>
      <c r="H30" s="13"/>
      <c r="I30" s="8" t="str">
        <f t="shared" si="2"/>
        <v/>
      </c>
    </row>
    <row r="31" spans="3:9" ht="22.5" customHeight="1" x14ac:dyDescent="0.3">
      <c r="C31" s="9">
        <f t="shared" si="0"/>
        <v>0</v>
      </c>
      <c r="D31" s="13"/>
      <c r="E31" s="13"/>
      <c r="F31" s="8" t="str">
        <f t="shared" si="1"/>
        <v/>
      </c>
      <c r="G31" s="13"/>
      <c r="H31" s="13"/>
      <c r="I31" s="8" t="str">
        <f t="shared" si="2"/>
        <v/>
      </c>
    </row>
    <row r="32" spans="3:9" ht="22.5" customHeight="1" x14ac:dyDescent="0.3">
      <c r="C32" s="9">
        <f t="shared" si="0"/>
        <v>0</v>
      </c>
      <c r="D32" s="13"/>
      <c r="E32" s="13"/>
      <c r="F32" s="8" t="str">
        <f t="shared" si="1"/>
        <v/>
      </c>
      <c r="G32" s="13"/>
      <c r="H32" s="13"/>
      <c r="I32" s="8" t="str">
        <f t="shared" si="2"/>
        <v/>
      </c>
    </row>
    <row r="33" spans="3:9" ht="22.5" customHeight="1" x14ac:dyDescent="0.3">
      <c r="C33" s="9">
        <f t="shared" si="0"/>
        <v>0</v>
      </c>
      <c r="D33" s="13"/>
      <c r="E33" s="13"/>
      <c r="F33" s="8" t="str">
        <f t="shared" si="1"/>
        <v/>
      </c>
      <c r="G33" s="13"/>
      <c r="H33" s="13"/>
      <c r="I33" s="8" t="str">
        <f t="shared" si="2"/>
        <v/>
      </c>
    </row>
    <row r="34" spans="3:9" ht="22.5" customHeight="1" x14ac:dyDescent="0.3">
      <c r="C34" s="9">
        <f t="shared" si="0"/>
        <v>0</v>
      </c>
      <c r="D34" s="13"/>
      <c r="E34" s="13"/>
      <c r="F34" s="8" t="str">
        <f t="shared" si="1"/>
        <v/>
      </c>
      <c r="G34" s="13"/>
      <c r="H34" s="13"/>
      <c r="I34" s="8" t="str">
        <f t="shared" si="2"/>
        <v/>
      </c>
    </row>
    <row r="35" spans="3:9" ht="22.5" customHeight="1" x14ac:dyDescent="0.3">
      <c r="C35" s="9">
        <f t="shared" si="0"/>
        <v>0</v>
      </c>
      <c r="D35" s="13"/>
      <c r="E35" s="13"/>
      <c r="F35" s="8" t="str">
        <f t="shared" si="1"/>
        <v/>
      </c>
      <c r="G35" s="13"/>
      <c r="H35" s="13"/>
      <c r="I35" s="8" t="str">
        <f t="shared" si="2"/>
        <v/>
      </c>
    </row>
    <row r="36" spans="3:9" ht="22.5" customHeight="1" x14ac:dyDescent="0.3">
      <c r="C36" s="9">
        <f t="shared" si="0"/>
        <v>0</v>
      </c>
      <c r="D36" s="13"/>
      <c r="E36" s="13"/>
      <c r="F36" s="8" t="str">
        <f t="shared" si="1"/>
        <v/>
      </c>
      <c r="G36" s="13"/>
      <c r="H36" s="13"/>
      <c r="I36" s="8" t="str">
        <f>IF(COUNTIF($G$49:$G$98,#REF!)=0,"",COUNTIF($G$49:$G$98,#REF!))</f>
        <v/>
      </c>
    </row>
    <row r="37" spans="3:9" ht="22.5" customHeight="1" x14ac:dyDescent="0.3">
      <c r="C37" s="9">
        <f t="shared" si="0"/>
        <v>0</v>
      </c>
      <c r="D37" s="13"/>
      <c r="E37" s="13"/>
      <c r="F37" s="8" t="str">
        <f t="shared" si="1"/>
        <v/>
      </c>
      <c r="H37" s="13"/>
      <c r="I37" s="8" t="str">
        <f>IF(COUNTIF($G$49:$G$98,G36)=0,"",COUNTIF($G$49:$G$98,G36))</f>
        <v/>
      </c>
    </row>
    <row r="38" spans="3:9" ht="22.5" customHeight="1" x14ac:dyDescent="0.3">
      <c r="C38" s="9">
        <f t="shared" si="0"/>
        <v>0</v>
      </c>
      <c r="D38" s="13"/>
      <c r="E38" s="13"/>
      <c r="F38" s="8" t="str">
        <f t="shared" si="1"/>
        <v/>
      </c>
      <c r="G38" s="13"/>
      <c r="H38" s="13"/>
      <c r="I38" s="8" t="str">
        <f t="shared" si="2"/>
        <v/>
      </c>
    </row>
    <row r="39" spans="3:9" ht="22.5" customHeight="1" x14ac:dyDescent="0.3">
      <c r="C39" s="9">
        <f t="shared" si="0"/>
        <v>0</v>
      </c>
      <c r="D39" s="13"/>
      <c r="E39" s="13"/>
      <c r="F39" s="8" t="str">
        <f t="shared" si="1"/>
        <v/>
      </c>
      <c r="G39" s="13"/>
      <c r="H39" s="13"/>
      <c r="I39" s="8" t="str">
        <f t="shared" si="2"/>
        <v/>
      </c>
    </row>
    <row r="40" spans="3:9" ht="22.5" customHeight="1" x14ac:dyDescent="0.3">
      <c r="C40" s="9">
        <f t="shared" si="0"/>
        <v>0</v>
      </c>
      <c r="D40" s="13"/>
      <c r="E40" s="13"/>
      <c r="F40" s="8" t="str">
        <f t="shared" si="1"/>
        <v/>
      </c>
      <c r="G40" s="13"/>
      <c r="H40" s="13"/>
      <c r="I40" s="8" t="str">
        <f t="shared" si="2"/>
        <v/>
      </c>
    </row>
    <row r="41" spans="3:9" ht="22.5" customHeight="1" x14ac:dyDescent="0.3">
      <c r="C41" s="9">
        <f t="shared" si="0"/>
        <v>0</v>
      </c>
      <c r="D41" s="13"/>
      <c r="E41" s="13"/>
      <c r="F41" s="8" t="str">
        <f t="shared" si="1"/>
        <v/>
      </c>
      <c r="G41" s="13"/>
      <c r="H41" s="13"/>
      <c r="I41" s="8" t="str">
        <f t="shared" si="2"/>
        <v/>
      </c>
    </row>
    <row r="42" spans="3:9" ht="22.5" customHeight="1" x14ac:dyDescent="0.3">
      <c r="C42" s="9">
        <f t="shared" si="0"/>
        <v>0</v>
      </c>
      <c r="D42" s="13"/>
      <c r="E42" s="13"/>
      <c r="F42" s="8" t="str">
        <f t="shared" si="1"/>
        <v/>
      </c>
      <c r="G42" s="13"/>
      <c r="H42" s="13"/>
      <c r="I42" s="8" t="str">
        <f t="shared" si="2"/>
        <v/>
      </c>
    </row>
    <row r="43" spans="3:9" ht="22.5" customHeight="1" x14ac:dyDescent="0.3">
      <c r="C43" s="9">
        <f t="shared" si="0"/>
        <v>0</v>
      </c>
      <c r="D43" s="13"/>
      <c r="E43" s="13"/>
      <c r="F43" s="8" t="str">
        <f t="shared" si="1"/>
        <v/>
      </c>
      <c r="G43" s="13"/>
      <c r="H43" s="13"/>
      <c r="I43" s="8" t="str">
        <f t="shared" si="2"/>
        <v/>
      </c>
    </row>
    <row r="44" spans="3:9" ht="22.5" customHeight="1" x14ac:dyDescent="0.3">
      <c r="C44" s="9">
        <f t="shared" si="0"/>
        <v>0</v>
      </c>
      <c r="D44" s="13"/>
      <c r="E44" s="13"/>
      <c r="F44" s="8" t="str">
        <f t="shared" si="1"/>
        <v/>
      </c>
      <c r="G44" s="13"/>
      <c r="H44" s="13"/>
      <c r="I44" s="8" t="str">
        <f t="shared" si="2"/>
        <v/>
      </c>
    </row>
    <row r="45" spans="3:9" ht="22.5" customHeight="1" x14ac:dyDescent="0.3">
      <c r="C45" s="9">
        <f t="shared" si="0"/>
        <v>0</v>
      </c>
      <c r="D45" s="13"/>
      <c r="E45" s="13"/>
      <c r="F45" s="8" t="str">
        <f t="shared" si="1"/>
        <v/>
      </c>
      <c r="G45" s="13"/>
      <c r="H45" s="13"/>
      <c r="I45" s="8" t="str">
        <f t="shared" si="2"/>
        <v/>
      </c>
    </row>
    <row r="46" spans="3:9" ht="22.5" customHeight="1" x14ac:dyDescent="0.3">
      <c r="C46" s="9">
        <f t="shared" si="0"/>
        <v>0</v>
      </c>
      <c r="D46" s="13"/>
      <c r="E46" s="13"/>
      <c r="F46" s="8" t="str">
        <f t="shared" si="1"/>
        <v/>
      </c>
      <c r="G46" s="13"/>
      <c r="H46" s="13"/>
      <c r="I46" s="8" t="str">
        <f t="shared" si="2"/>
        <v/>
      </c>
    </row>
    <row r="47" spans="3:9" ht="22.5" customHeight="1" x14ac:dyDescent="0.3">
      <c r="C47" s="9">
        <f t="shared" si="0"/>
        <v>0</v>
      </c>
      <c r="D47" s="13"/>
      <c r="E47" s="13"/>
      <c r="F47" s="8" t="str">
        <f t="shared" si="1"/>
        <v/>
      </c>
      <c r="G47" s="13"/>
      <c r="H47" s="13"/>
      <c r="I47" s="8" t="str">
        <f t="shared" si="2"/>
        <v/>
      </c>
    </row>
    <row r="48" spans="3:9" ht="22.5" customHeight="1" x14ac:dyDescent="0.3"/>
    <row r="49" spans="2:11" ht="22.5" customHeight="1" x14ac:dyDescent="0.3">
      <c r="B49" s="58" t="s">
        <v>9</v>
      </c>
      <c r="C49" s="5" t="s">
        <v>8</v>
      </c>
      <c r="D49" s="5" t="s">
        <v>10</v>
      </c>
      <c r="E49" s="61" t="s">
        <v>13</v>
      </c>
      <c r="F49" s="62"/>
      <c r="G49" s="12" t="s">
        <v>11</v>
      </c>
      <c r="H49" s="61" t="s">
        <v>12</v>
      </c>
      <c r="I49" s="62"/>
      <c r="J49" s="12" t="s">
        <v>14</v>
      </c>
      <c r="K49" s="12" t="s">
        <v>31</v>
      </c>
    </row>
    <row r="50" spans="2:11" ht="22.5" customHeight="1" x14ac:dyDescent="0.3">
      <c r="B50" s="59"/>
      <c r="C50" s="1" t="s">
        <v>0</v>
      </c>
      <c r="D50" s="8" t="str">
        <f>IF(VLOOKUP(G50,$C$16:$E$47,2,FALSE)="","",VLOOKUP(G50,$C$16:$E$47,2,FALSE))</f>
        <v>2001010211_19v4</v>
      </c>
      <c r="E50" s="63" t="str">
        <f>IF(VLOOKUP(G50,$C$16:$E$47,3,FALSE)="","",VLOOKUP(G50,$C$16:$E$47,3,FALSE))</f>
        <v xml:space="preserve">	정보시스템인프라분석</v>
      </c>
      <c r="F50" s="64"/>
      <c r="G50" s="13" t="s">
        <v>50</v>
      </c>
      <c r="H50" s="63" t="str">
        <f>IFERROR(VLOOKUP(G50,$G$16:$H$47,2,FALSE),"")</f>
        <v>하드웨어 분석하기</v>
      </c>
      <c r="I50" s="64"/>
      <c r="J50" s="15" t="s">
        <v>49</v>
      </c>
      <c r="K50" s="53" t="s">
        <v>54</v>
      </c>
    </row>
    <row r="51" spans="2:11" ht="22.5" customHeight="1" x14ac:dyDescent="0.3">
      <c r="B51" s="59"/>
      <c r="C51" s="1" t="s">
        <v>1</v>
      </c>
      <c r="D51" s="8" t="str">
        <f t="shared" ref="D51:D52" si="3">IF(VLOOKUP(G51,$C$16:$E$47,2,FALSE)="","",VLOOKUP(G51,$C$16:$E$47,2,FALSE))</f>
        <v/>
      </c>
      <c r="E51" s="63" t="str">
        <f t="shared" ref="E51:E52" si="4">IF(VLOOKUP(G51,$C$16:$E$47,3,FALSE)="","",VLOOKUP(G51,$C$16:$E$47,3,FALSE))</f>
        <v/>
      </c>
      <c r="F51" s="64"/>
      <c r="G51" s="13"/>
      <c r="H51" s="63" t="str">
        <f t="shared" ref="H51:H58" si="5">IFERROR(VLOOKUP(G51,$G$16:$H$47,2,FALSE),"")</f>
        <v/>
      </c>
      <c r="I51" s="64"/>
      <c r="J51" s="15"/>
      <c r="K51" s="65"/>
    </row>
    <row r="52" spans="2:11" ht="22.5" customHeight="1" x14ac:dyDescent="0.3">
      <c r="B52" s="59"/>
      <c r="C52" s="1" t="s">
        <v>2</v>
      </c>
      <c r="D52" s="8" t="str">
        <f t="shared" si="3"/>
        <v/>
      </c>
      <c r="E52" s="63" t="str">
        <f t="shared" si="4"/>
        <v/>
      </c>
      <c r="F52" s="64"/>
      <c r="G52" s="13"/>
      <c r="H52" s="63" t="str">
        <f t="shared" si="5"/>
        <v/>
      </c>
      <c r="I52" s="64"/>
      <c r="J52" s="15"/>
      <c r="K52" s="65"/>
    </row>
    <row r="53" spans="2:11" ht="22.5" customHeight="1" x14ac:dyDescent="0.3">
      <c r="B53" s="59"/>
      <c r="C53" s="2" t="s">
        <v>18</v>
      </c>
      <c r="D53" s="7"/>
      <c r="E53" s="67"/>
      <c r="F53" s="68"/>
      <c r="G53" s="17"/>
      <c r="H53" s="67"/>
      <c r="I53" s="68"/>
      <c r="J53" s="16"/>
      <c r="K53" s="65"/>
    </row>
    <row r="54" spans="2:11" ht="22.5" customHeight="1" x14ac:dyDescent="0.3">
      <c r="B54" s="59"/>
      <c r="C54" s="1" t="s">
        <v>3</v>
      </c>
      <c r="D54" s="8" t="str">
        <f>IF(VLOOKUP(G54,$C$16:$E$47,2,FALSE)="","",VLOOKUP(G54,$C$16:$E$47,2,FALSE))</f>
        <v/>
      </c>
      <c r="E54" s="63" t="str">
        <f>IF(VLOOKUP(G54,$C$16:$E$47,3,FALSE)="","",VLOOKUP(G54,$C$16:$E$47,3,FALSE))</f>
        <v/>
      </c>
      <c r="F54" s="64"/>
      <c r="G54" s="13"/>
      <c r="H54" s="63" t="str">
        <f t="shared" si="5"/>
        <v/>
      </c>
      <c r="I54" s="64"/>
      <c r="J54" s="15"/>
      <c r="K54" s="65"/>
    </row>
    <row r="55" spans="2:11" ht="22.5" customHeight="1" x14ac:dyDescent="0.3">
      <c r="B55" s="59"/>
      <c r="C55" s="1" t="s">
        <v>4</v>
      </c>
      <c r="D55" s="8" t="str">
        <f t="shared" ref="D55:D58" si="6">IF(VLOOKUP(G55,$C$16:$E$47,2,FALSE)="","",VLOOKUP(G55,$C$16:$E$47,2,FALSE))</f>
        <v/>
      </c>
      <c r="E55" s="63" t="str">
        <f t="shared" ref="E55:E58" si="7">IF(VLOOKUP(G55,$C$16:$E$47,3,FALSE)="","",VLOOKUP(G55,$C$16:$E$47,3,FALSE))</f>
        <v/>
      </c>
      <c r="F55" s="64"/>
      <c r="G55" s="13"/>
      <c r="H55" s="63" t="str">
        <f t="shared" si="5"/>
        <v/>
      </c>
      <c r="I55" s="64"/>
      <c r="J55" s="15"/>
      <c r="K55" s="65"/>
    </row>
    <row r="56" spans="2:11" ht="22.5" customHeight="1" x14ac:dyDescent="0.3">
      <c r="B56" s="59"/>
      <c r="C56" s="1" t="s">
        <v>5</v>
      </c>
      <c r="D56" s="8" t="str">
        <f t="shared" si="6"/>
        <v/>
      </c>
      <c r="E56" s="63" t="str">
        <f t="shared" si="7"/>
        <v/>
      </c>
      <c r="F56" s="64"/>
      <c r="G56" s="13"/>
      <c r="H56" s="63" t="str">
        <f t="shared" si="5"/>
        <v/>
      </c>
      <c r="I56" s="64"/>
      <c r="J56" s="15"/>
      <c r="K56" s="65"/>
    </row>
    <row r="57" spans="2:11" ht="22.5" customHeight="1" x14ac:dyDescent="0.3">
      <c r="B57" s="59"/>
      <c r="C57" s="1" t="s">
        <v>6</v>
      </c>
      <c r="D57" s="8" t="str">
        <f t="shared" si="6"/>
        <v/>
      </c>
      <c r="E57" s="63" t="str">
        <f t="shared" si="7"/>
        <v/>
      </c>
      <c r="F57" s="64"/>
      <c r="G57" s="13"/>
      <c r="H57" s="63" t="str">
        <f t="shared" si="5"/>
        <v/>
      </c>
      <c r="I57" s="64"/>
      <c r="J57" s="15"/>
      <c r="K57" s="65"/>
    </row>
    <row r="58" spans="2:11" ht="22.5" customHeight="1" x14ac:dyDescent="0.3">
      <c r="B58" s="60"/>
      <c r="C58" s="1" t="s">
        <v>7</v>
      </c>
      <c r="D58" s="8" t="str">
        <f t="shared" si="6"/>
        <v/>
      </c>
      <c r="E58" s="63" t="str">
        <f t="shared" si="7"/>
        <v/>
      </c>
      <c r="F58" s="64"/>
      <c r="G58" s="13"/>
      <c r="H58" s="63" t="str">
        <f t="shared" si="5"/>
        <v/>
      </c>
      <c r="I58" s="64"/>
      <c r="J58" s="15"/>
      <c r="K58" s="66"/>
    </row>
    <row r="59" spans="2:11" ht="22.5" customHeight="1" x14ac:dyDescent="0.3">
      <c r="B59" s="58" t="s">
        <v>16</v>
      </c>
      <c r="C59" s="5" t="s">
        <v>8</v>
      </c>
      <c r="D59" s="5" t="s">
        <v>10</v>
      </c>
      <c r="E59" s="61" t="s">
        <v>13</v>
      </c>
      <c r="F59" s="62"/>
      <c r="G59" s="12" t="s">
        <v>11</v>
      </c>
      <c r="H59" s="61" t="s">
        <v>12</v>
      </c>
      <c r="I59" s="62"/>
      <c r="J59" s="12" t="s">
        <v>14</v>
      </c>
      <c r="K59" s="12" t="s">
        <v>32</v>
      </c>
    </row>
    <row r="60" spans="2:11" ht="22.5" customHeight="1" x14ac:dyDescent="0.3">
      <c r="B60" s="59"/>
      <c r="C60" s="1" t="s">
        <v>0</v>
      </c>
      <c r="D60" s="8" t="str">
        <f>IF(VLOOKUP(G60,$C$16:$E$47,2,FALSE)="","",VLOOKUP(G60,$C$16:$E$47,2,FALSE))</f>
        <v/>
      </c>
      <c r="E60" s="63" t="str">
        <f>IF(VLOOKUP(G60,$C$16:$E$47,3,FALSE)="","",VLOOKUP(G60,$C$16:$E$47,3,FALSE))</f>
        <v/>
      </c>
      <c r="F60" s="64"/>
      <c r="G60" s="13"/>
      <c r="H60" s="63" t="str">
        <f>IFERROR(VLOOKUP(G60,$G$16:$H$47,2,FALSE),"")</f>
        <v/>
      </c>
      <c r="I60" s="64"/>
      <c r="J60" s="15"/>
      <c r="K60" s="54"/>
    </row>
    <row r="61" spans="2:11" ht="22.5" customHeight="1" x14ac:dyDescent="0.3">
      <c r="B61" s="59"/>
      <c r="C61" s="1" t="s">
        <v>1</v>
      </c>
      <c r="D61" s="8" t="str">
        <f t="shared" ref="D61:D62" si="8">IF(VLOOKUP(G61,$C$16:$E$47,2,FALSE)="","",VLOOKUP(G61,$C$16:$E$47,2,FALSE))</f>
        <v/>
      </c>
      <c r="E61" s="63" t="str">
        <f t="shared" ref="E61:E62" si="9">IF(VLOOKUP(G61,$C$16:$E$47,3,FALSE)="","",VLOOKUP(G61,$C$16:$E$47,3,FALSE))</f>
        <v/>
      </c>
      <c r="F61" s="64"/>
      <c r="G61" s="13"/>
      <c r="H61" s="63" t="str">
        <f t="shared" ref="H61:H68" si="10">IFERROR(VLOOKUP(G61,$G$16:$H$47,2,FALSE),"")</f>
        <v/>
      </c>
      <c r="I61" s="64"/>
      <c r="J61" s="15"/>
      <c r="K61" s="65"/>
    </row>
    <row r="62" spans="2:11" ht="22.5" customHeight="1" x14ac:dyDescent="0.3">
      <c r="B62" s="59"/>
      <c r="C62" s="1" t="s">
        <v>2</v>
      </c>
      <c r="D62" s="8" t="str">
        <f t="shared" si="8"/>
        <v/>
      </c>
      <c r="E62" s="63" t="str">
        <f t="shared" si="9"/>
        <v/>
      </c>
      <c r="F62" s="64"/>
      <c r="G62" s="13"/>
      <c r="H62" s="63" t="str">
        <f t="shared" si="10"/>
        <v/>
      </c>
      <c r="I62" s="64"/>
      <c r="J62" s="15"/>
      <c r="K62" s="65"/>
    </row>
    <row r="63" spans="2:11" ht="22.5" customHeight="1" x14ac:dyDescent="0.3">
      <c r="B63" s="59"/>
      <c r="C63" s="2" t="s">
        <v>18</v>
      </c>
      <c r="D63" s="7"/>
      <c r="E63" s="67"/>
      <c r="F63" s="68"/>
      <c r="G63" s="17"/>
      <c r="H63" s="67"/>
      <c r="I63" s="68"/>
      <c r="J63" s="16"/>
      <c r="K63" s="65"/>
    </row>
    <row r="64" spans="2:11" ht="22.5" customHeight="1" x14ac:dyDescent="0.3">
      <c r="B64" s="59"/>
      <c r="C64" s="1" t="s">
        <v>3</v>
      </c>
      <c r="D64" s="8" t="str">
        <f>IF(VLOOKUP(G64,$C$16:$E$47,2,FALSE)="","",VLOOKUP(G64,$C$16:$E$47,2,FALSE))</f>
        <v/>
      </c>
      <c r="E64" s="63" t="str">
        <f>IF(VLOOKUP(G64,$C$16:$E$47,3,FALSE)="","",VLOOKUP(G64,$C$16:$E$47,3,FALSE))</f>
        <v/>
      </c>
      <c r="F64" s="64"/>
      <c r="G64" s="13"/>
      <c r="H64" s="63" t="str">
        <f t="shared" si="10"/>
        <v/>
      </c>
      <c r="I64" s="64"/>
      <c r="J64" s="15"/>
      <c r="K64" s="65"/>
    </row>
    <row r="65" spans="2:11" ht="22.5" customHeight="1" x14ac:dyDescent="0.3">
      <c r="B65" s="59"/>
      <c r="C65" s="1" t="s">
        <v>4</v>
      </c>
      <c r="D65" s="8" t="str">
        <f t="shared" ref="D65:D68" si="11">IF(VLOOKUP(G65,$C$16:$E$47,2,FALSE)="","",VLOOKUP(G65,$C$16:$E$47,2,FALSE))</f>
        <v/>
      </c>
      <c r="E65" s="63" t="str">
        <f t="shared" ref="E65:E68" si="12">IF(VLOOKUP(G65,$C$16:$E$47,3,FALSE)="","",VLOOKUP(G65,$C$16:$E$47,3,FALSE))</f>
        <v/>
      </c>
      <c r="F65" s="64"/>
      <c r="G65" s="13"/>
      <c r="H65" s="63" t="str">
        <f t="shared" si="10"/>
        <v/>
      </c>
      <c r="I65" s="64"/>
      <c r="J65" s="15"/>
      <c r="K65" s="65"/>
    </row>
    <row r="66" spans="2:11" ht="22.5" customHeight="1" x14ac:dyDescent="0.3">
      <c r="B66" s="59"/>
      <c r="C66" s="1" t="s">
        <v>5</v>
      </c>
      <c r="D66" s="8" t="str">
        <f t="shared" si="11"/>
        <v/>
      </c>
      <c r="E66" s="63" t="str">
        <f t="shared" si="12"/>
        <v/>
      </c>
      <c r="F66" s="64"/>
      <c r="G66" s="13"/>
      <c r="H66" s="63" t="str">
        <f t="shared" si="10"/>
        <v/>
      </c>
      <c r="I66" s="64"/>
      <c r="J66" s="15"/>
      <c r="K66" s="65"/>
    </row>
    <row r="67" spans="2:11" ht="22.5" customHeight="1" x14ac:dyDescent="0.3">
      <c r="B67" s="59"/>
      <c r="C67" s="1" t="s">
        <v>6</v>
      </c>
      <c r="D67" s="8" t="str">
        <f t="shared" si="11"/>
        <v/>
      </c>
      <c r="E67" s="63" t="str">
        <f t="shared" si="12"/>
        <v/>
      </c>
      <c r="F67" s="64"/>
      <c r="G67" s="13"/>
      <c r="H67" s="63" t="str">
        <f t="shared" si="10"/>
        <v/>
      </c>
      <c r="I67" s="64"/>
      <c r="J67" s="15"/>
      <c r="K67" s="65"/>
    </row>
    <row r="68" spans="2:11" ht="22.5" customHeight="1" x14ac:dyDescent="0.3">
      <c r="B68" s="60"/>
      <c r="C68" s="1" t="s">
        <v>7</v>
      </c>
      <c r="D68" s="8" t="str">
        <f t="shared" si="11"/>
        <v/>
      </c>
      <c r="E68" s="63" t="str">
        <f t="shared" si="12"/>
        <v/>
      </c>
      <c r="F68" s="64"/>
      <c r="G68" s="13"/>
      <c r="H68" s="63" t="str">
        <f t="shared" si="10"/>
        <v/>
      </c>
      <c r="I68" s="64"/>
      <c r="J68" s="15"/>
      <c r="K68" s="66"/>
    </row>
    <row r="69" spans="2:11" ht="22.5" customHeight="1" x14ac:dyDescent="0.3">
      <c r="B69" s="58" t="s">
        <v>17</v>
      </c>
      <c r="C69" s="5" t="s">
        <v>8</v>
      </c>
      <c r="D69" s="5" t="s">
        <v>10</v>
      </c>
      <c r="E69" s="61" t="s">
        <v>13</v>
      </c>
      <c r="F69" s="62"/>
      <c r="G69" s="12" t="s">
        <v>11</v>
      </c>
      <c r="H69" s="61" t="s">
        <v>12</v>
      </c>
      <c r="I69" s="62"/>
      <c r="J69" s="12" t="s">
        <v>14</v>
      </c>
      <c r="K69" s="12" t="s">
        <v>33</v>
      </c>
    </row>
    <row r="70" spans="2:11" ht="22.5" customHeight="1" x14ac:dyDescent="0.3">
      <c r="B70" s="59"/>
      <c r="C70" s="1" t="s">
        <v>0</v>
      </c>
      <c r="D70" s="8" t="str">
        <f>IF(VLOOKUP(G70,$C$16:$E$47,2,FALSE)="","",VLOOKUP(G70,$C$16:$E$47,2,FALSE))</f>
        <v/>
      </c>
      <c r="E70" s="63" t="str">
        <f>IF(VLOOKUP(G70,$C$16:$E$47,3,FALSE)="","",VLOOKUP(G70,$C$16:$E$47,3,FALSE))</f>
        <v/>
      </c>
      <c r="F70" s="64"/>
      <c r="G70" s="13"/>
      <c r="H70" s="63" t="str">
        <f>IFERROR(VLOOKUP(G70,$G$16:$H$47,2,FALSE),"")</f>
        <v/>
      </c>
      <c r="I70" s="64"/>
      <c r="J70" s="15"/>
      <c r="K70" s="54"/>
    </row>
    <row r="71" spans="2:11" ht="22.5" customHeight="1" x14ac:dyDescent="0.3">
      <c r="B71" s="59"/>
      <c r="C71" s="1" t="s">
        <v>1</v>
      </c>
      <c r="D71" s="8" t="str">
        <f t="shared" ref="D71:D72" si="13">IF(VLOOKUP(G71,$C$16:$E$47,2,FALSE)="","",VLOOKUP(G71,$C$16:$E$47,2,FALSE))</f>
        <v/>
      </c>
      <c r="E71" s="63" t="str">
        <f t="shared" ref="E71:E72" si="14">IF(VLOOKUP(G71,$C$16:$E$47,3,FALSE)="","",VLOOKUP(G71,$C$16:$E$47,3,FALSE))</f>
        <v/>
      </c>
      <c r="F71" s="64"/>
      <c r="G71" s="13"/>
      <c r="H71" s="63" t="str">
        <f t="shared" ref="H71:H78" si="15">IFERROR(VLOOKUP(G71,$G$16:$H$47,2,FALSE),"")</f>
        <v/>
      </c>
      <c r="I71" s="64"/>
      <c r="J71" s="15"/>
      <c r="K71" s="65"/>
    </row>
    <row r="72" spans="2:11" ht="22.5" customHeight="1" x14ac:dyDescent="0.3">
      <c r="B72" s="59"/>
      <c r="C72" s="1" t="s">
        <v>2</v>
      </c>
      <c r="D72" s="8" t="str">
        <f t="shared" si="13"/>
        <v/>
      </c>
      <c r="E72" s="63" t="str">
        <f t="shared" si="14"/>
        <v/>
      </c>
      <c r="F72" s="64"/>
      <c r="G72" s="13"/>
      <c r="H72" s="63" t="str">
        <f t="shared" si="15"/>
        <v/>
      </c>
      <c r="I72" s="64"/>
      <c r="J72" s="15"/>
      <c r="K72" s="65"/>
    </row>
    <row r="73" spans="2:11" ht="22.5" customHeight="1" x14ac:dyDescent="0.3">
      <c r="B73" s="59"/>
      <c r="C73" s="2" t="s">
        <v>18</v>
      </c>
      <c r="D73" s="7"/>
      <c r="E73" s="67"/>
      <c r="F73" s="68"/>
      <c r="G73" s="17"/>
      <c r="H73" s="67"/>
      <c r="I73" s="68"/>
      <c r="J73" s="16"/>
      <c r="K73" s="65"/>
    </row>
    <row r="74" spans="2:11" ht="22.5" customHeight="1" x14ac:dyDescent="0.3">
      <c r="B74" s="59"/>
      <c r="C74" s="1" t="s">
        <v>3</v>
      </c>
      <c r="D74" s="8" t="str">
        <f>IF(VLOOKUP(G74,$C$16:$E$47,2,FALSE)="","",VLOOKUP(G74,$C$16:$E$47,2,FALSE))</f>
        <v/>
      </c>
      <c r="E74" s="63" t="str">
        <f>IF(VLOOKUP(G74,$C$16:$E$47,3,FALSE)="","",VLOOKUP(G74,$C$16:$E$47,3,FALSE))</f>
        <v/>
      </c>
      <c r="F74" s="64"/>
      <c r="G74" s="13"/>
      <c r="H74" s="63" t="str">
        <f t="shared" si="15"/>
        <v/>
      </c>
      <c r="I74" s="64"/>
      <c r="J74" s="15"/>
      <c r="K74" s="65"/>
    </row>
    <row r="75" spans="2:11" ht="22.5" customHeight="1" x14ac:dyDescent="0.3">
      <c r="B75" s="59"/>
      <c r="C75" s="1" t="s">
        <v>4</v>
      </c>
      <c r="D75" s="8" t="str">
        <f t="shared" ref="D75:D78" si="16">IF(VLOOKUP(G75,$C$16:$E$47,2,FALSE)="","",VLOOKUP(G75,$C$16:$E$47,2,FALSE))</f>
        <v/>
      </c>
      <c r="E75" s="63" t="str">
        <f t="shared" ref="E75:E78" si="17">IF(VLOOKUP(G75,$C$16:$E$47,3,FALSE)="","",VLOOKUP(G75,$C$16:$E$47,3,FALSE))</f>
        <v/>
      </c>
      <c r="F75" s="64"/>
      <c r="G75" s="13"/>
      <c r="H75" s="63" t="str">
        <f t="shared" si="15"/>
        <v/>
      </c>
      <c r="I75" s="64"/>
      <c r="J75" s="15"/>
      <c r="K75" s="65"/>
    </row>
    <row r="76" spans="2:11" ht="22.5" customHeight="1" x14ac:dyDescent="0.3">
      <c r="B76" s="59"/>
      <c r="C76" s="1" t="s">
        <v>5</v>
      </c>
      <c r="D76" s="8" t="str">
        <f t="shared" si="16"/>
        <v/>
      </c>
      <c r="E76" s="63" t="str">
        <f t="shared" si="17"/>
        <v/>
      </c>
      <c r="F76" s="64"/>
      <c r="G76" s="13"/>
      <c r="H76" s="63" t="str">
        <f t="shared" si="15"/>
        <v/>
      </c>
      <c r="I76" s="64"/>
      <c r="J76" s="15"/>
      <c r="K76" s="65"/>
    </row>
    <row r="77" spans="2:11" ht="22.5" customHeight="1" x14ac:dyDescent="0.3">
      <c r="B77" s="59"/>
      <c r="C77" s="1" t="s">
        <v>6</v>
      </c>
      <c r="D77" s="8" t="str">
        <f t="shared" si="16"/>
        <v/>
      </c>
      <c r="E77" s="63" t="str">
        <f t="shared" si="17"/>
        <v/>
      </c>
      <c r="F77" s="64"/>
      <c r="G77" s="13"/>
      <c r="H77" s="63" t="str">
        <f t="shared" si="15"/>
        <v/>
      </c>
      <c r="I77" s="64"/>
      <c r="J77" s="15"/>
      <c r="K77" s="65"/>
    </row>
    <row r="78" spans="2:11" ht="22.5" customHeight="1" x14ac:dyDescent="0.3">
      <c r="B78" s="60"/>
      <c r="C78" s="1" t="s">
        <v>7</v>
      </c>
      <c r="D78" s="8" t="str">
        <f t="shared" si="16"/>
        <v/>
      </c>
      <c r="E78" s="63" t="str">
        <f t="shared" si="17"/>
        <v/>
      </c>
      <c r="F78" s="64"/>
      <c r="G78" s="13"/>
      <c r="H78" s="63" t="str">
        <f t="shared" si="15"/>
        <v/>
      </c>
      <c r="I78" s="64"/>
      <c r="J78" s="15"/>
      <c r="K78" s="66"/>
    </row>
    <row r="79" spans="2:11" ht="22.5" customHeight="1" x14ac:dyDescent="0.3">
      <c r="B79" s="58" t="s">
        <v>19</v>
      </c>
      <c r="C79" s="5" t="s">
        <v>8</v>
      </c>
      <c r="D79" s="5" t="s">
        <v>10</v>
      </c>
      <c r="E79" s="61" t="s">
        <v>13</v>
      </c>
      <c r="F79" s="62"/>
      <c r="G79" s="12" t="s">
        <v>11</v>
      </c>
      <c r="H79" s="61" t="s">
        <v>12</v>
      </c>
      <c r="I79" s="62"/>
      <c r="J79" s="12" t="s">
        <v>14</v>
      </c>
      <c r="K79" s="12" t="s">
        <v>34</v>
      </c>
    </row>
    <row r="80" spans="2:11" ht="22.5" customHeight="1" x14ac:dyDescent="0.3">
      <c r="B80" s="59"/>
      <c r="C80" s="1" t="s">
        <v>0</v>
      </c>
      <c r="D80" s="8" t="str">
        <f>IF(VLOOKUP(G80,$C$16:$E$47,2,FALSE)="","",VLOOKUP(G80,$C$16:$E$47,2,FALSE))</f>
        <v/>
      </c>
      <c r="E80" s="63" t="str">
        <f>IF(VLOOKUP(G80,$C$16:$E$47,3,FALSE)="","",VLOOKUP(G80,$C$16:$E$47,3,FALSE))</f>
        <v/>
      </c>
      <c r="F80" s="64"/>
      <c r="G80" s="13"/>
      <c r="H80" s="63" t="str">
        <f>IFERROR(VLOOKUP(G80,$G$16:$H$47,2,FALSE),"")</f>
        <v/>
      </c>
      <c r="I80" s="64"/>
      <c r="J80" s="15"/>
      <c r="K80" s="54"/>
    </row>
    <row r="81" spans="2:11" ht="22.5" customHeight="1" x14ac:dyDescent="0.3">
      <c r="B81" s="59"/>
      <c r="C81" s="1" t="s">
        <v>1</v>
      </c>
      <c r="D81" s="8" t="str">
        <f t="shared" ref="D81:D82" si="18">IF(VLOOKUP(G81,$C$16:$E$47,2,FALSE)="","",VLOOKUP(G81,$C$16:$E$47,2,FALSE))</f>
        <v/>
      </c>
      <c r="E81" s="63" t="str">
        <f t="shared" ref="E81:E82" si="19">IF(VLOOKUP(G81,$C$16:$E$47,3,FALSE)="","",VLOOKUP(G81,$C$16:$E$47,3,FALSE))</f>
        <v/>
      </c>
      <c r="F81" s="64"/>
      <c r="G81" s="13"/>
      <c r="H81" s="63" t="str">
        <f t="shared" ref="H81:H88" si="20">IFERROR(VLOOKUP(G81,$G$16:$H$47,2,FALSE),"")</f>
        <v/>
      </c>
      <c r="I81" s="64"/>
      <c r="J81" s="15"/>
      <c r="K81" s="65"/>
    </row>
    <row r="82" spans="2:11" ht="22.5" customHeight="1" x14ac:dyDescent="0.3">
      <c r="B82" s="59"/>
      <c r="C82" s="1" t="s">
        <v>2</v>
      </c>
      <c r="D82" s="8" t="str">
        <f t="shared" si="18"/>
        <v/>
      </c>
      <c r="E82" s="63" t="str">
        <f t="shared" si="19"/>
        <v/>
      </c>
      <c r="F82" s="64"/>
      <c r="G82" s="13"/>
      <c r="H82" s="63" t="str">
        <f t="shared" si="20"/>
        <v/>
      </c>
      <c r="I82" s="64"/>
      <c r="J82" s="15"/>
      <c r="K82" s="65"/>
    </row>
    <row r="83" spans="2:11" ht="22.5" customHeight="1" x14ac:dyDescent="0.3">
      <c r="B83" s="59"/>
      <c r="C83" s="2" t="s">
        <v>18</v>
      </c>
      <c r="D83" s="7"/>
      <c r="E83" s="67"/>
      <c r="F83" s="68"/>
      <c r="G83" s="17"/>
      <c r="H83" s="67"/>
      <c r="I83" s="68"/>
      <c r="J83" s="16"/>
      <c r="K83" s="65"/>
    </row>
    <row r="84" spans="2:11" ht="22.5" customHeight="1" x14ac:dyDescent="0.3">
      <c r="B84" s="59"/>
      <c r="C84" s="1" t="s">
        <v>3</v>
      </c>
      <c r="D84" s="8" t="str">
        <f>IF(VLOOKUP(G84,$C$16:$E$47,2,FALSE)="","",VLOOKUP(G84,$C$16:$E$47,2,FALSE))</f>
        <v/>
      </c>
      <c r="E84" s="63" t="str">
        <f>IF(VLOOKUP(G84,$C$16:$E$47,3,FALSE)="","",VLOOKUP(G84,$C$16:$E$47,3,FALSE))</f>
        <v/>
      </c>
      <c r="F84" s="64"/>
      <c r="G84" s="13"/>
      <c r="H84" s="63" t="str">
        <f t="shared" si="20"/>
        <v/>
      </c>
      <c r="I84" s="64"/>
      <c r="J84" s="15"/>
      <c r="K84" s="65"/>
    </row>
    <row r="85" spans="2:11" ht="22.5" customHeight="1" x14ac:dyDescent="0.3">
      <c r="B85" s="59"/>
      <c r="C85" s="1" t="s">
        <v>4</v>
      </c>
      <c r="D85" s="8" t="str">
        <f t="shared" ref="D85:D88" si="21">IF(VLOOKUP(G85,$C$16:$E$47,2,FALSE)="","",VLOOKUP(G85,$C$16:$E$47,2,FALSE))</f>
        <v/>
      </c>
      <c r="E85" s="63" t="str">
        <f t="shared" ref="E85:E88" si="22">IF(VLOOKUP(G85,$C$16:$E$47,3,FALSE)="","",VLOOKUP(G85,$C$16:$E$47,3,FALSE))</f>
        <v/>
      </c>
      <c r="F85" s="64"/>
      <c r="G85" s="13"/>
      <c r="H85" s="63" t="str">
        <f t="shared" si="20"/>
        <v/>
      </c>
      <c r="I85" s="64"/>
      <c r="J85" s="15"/>
      <c r="K85" s="65"/>
    </row>
    <row r="86" spans="2:11" ht="22.5" customHeight="1" x14ac:dyDescent="0.3">
      <c r="B86" s="59"/>
      <c r="C86" s="1" t="s">
        <v>5</v>
      </c>
      <c r="D86" s="8" t="str">
        <f t="shared" si="21"/>
        <v/>
      </c>
      <c r="E86" s="63" t="str">
        <f t="shared" si="22"/>
        <v/>
      </c>
      <c r="F86" s="64"/>
      <c r="G86" s="13"/>
      <c r="H86" s="63" t="str">
        <f t="shared" si="20"/>
        <v/>
      </c>
      <c r="I86" s="64"/>
      <c r="J86" s="15"/>
      <c r="K86" s="65"/>
    </row>
    <row r="87" spans="2:11" ht="22.5" customHeight="1" x14ac:dyDescent="0.3">
      <c r="B87" s="59"/>
      <c r="C87" s="1" t="s">
        <v>6</v>
      </c>
      <c r="D87" s="8" t="str">
        <f t="shared" si="21"/>
        <v/>
      </c>
      <c r="E87" s="63" t="str">
        <f t="shared" si="22"/>
        <v/>
      </c>
      <c r="F87" s="64"/>
      <c r="G87" s="13"/>
      <c r="H87" s="63" t="str">
        <f t="shared" si="20"/>
        <v/>
      </c>
      <c r="I87" s="64"/>
      <c r="J87" s="15"/>
      <c r="K87" s="65"/>
    </row>
    <row r="88" spans="2:11" ht="22.5" customHeight="1" x14ac:dyDescent="0.3">
      <c r="B88" s="60"/>
      <c r="C88" s="1" t="s">
        <v>7</v>
      </c>
      <c r="D88" s="8" t="str">
        <f t="shared" si="21"/>
        <v/>
      </c>
      <c r="E88" s="63" t="str">
        <f t="shared" si="22"/>
        <v/>
      </c>
      <c r="F88" s="64"/>
      <c r="G88" s="13"/>
      <c r="H88" s="63" t="str">
        <f t="shared" si="20"/>
        <v/>
      </c>
      <c r="I88" s="64"/>
      <c r="J88" s="15"/>
      <c r="K88" s="66"/>
    </row>
    <row r="89" spans="2:11" ht="22.5" customHeight="1" x14ac:dyDescent="0.3">
      <c r="B89" s="58" t="s">
        <v>20</v>
      </c>
      <c r="C89" s="5" t="s">
        <v>8</v>
      </c>
      <c r="D89" s="5" t="s">
        <v>10</v>
      </c>
      <c r="E89" s="61" t="s">
        <v>13</v>
      </c>
      <c r="F89" s="62"/>
      <c r="G89" s="12" t="s">
        <v>11</v>
      </c>
      <c r="H89" s="61" t="s">
        <v>12</v>
      </c>
      <c r="I89" s="62"/>
      <c r="J89" s="12" t="s">
        <v>14</v>
      </c>
      <c r="K89" s="12" t="s">
        <v>35</v>
      </c>
    </row>
    <row r="90" spans="2:11" ht="22.5" customHeight="1" x14ac:dyDescent="0.3">
      <c r="B90" s="59"/>
      <c r="C90" s="1" t="s">
        <v>0</v>
      </c>
      <c r="D90" s="8" t="str">
        <f>IF(VLOOKUP(G90,$C$16:$E$47,2,FALSE)="","",VLOOKUP(G90,$C$16:$E$47,2,FALSE))</f>
        <v/>
      </c>
      <c r="E90" s="63" t="str">
        <f>IF(VLOOKUP(G90,$C$16:$E$47,3,FALSE)="","",VLOOKUP(G90,$C$16:$E$47,3,FALSE))</f>
        <v/>
      </c>
      <c r="F90" s="64"/>
      <c r="G90" s="13"/>
      <c r="H90" s="63" t="str">
        <f>IFERROR(VLOOKUP(G90,$G$16:$H$47,2,FALSE),"")</f>
        <v/>
      </c>
      <c r="I90" s="64"/>
      <c r="J90" s="15"/>
      <c r="K90" s="54"/>
    </row>
    <row r="91" spans="2:11" ht="22.5" customHeight="1" x14ac:dyDescent="0.3">
      <c r="B91" s="59"/>
      <c r="C91" s="1" t="s">
        <v>1</v>
      </c>
      <c r="D91" s="8" t="str">
        <f t="shared" ref="D91:D92" si="23">IF(VLOOKUP(G91,$C$16:$E$47,2,FALSE)="","",VLOOKUP(G91,$C$16:$E$47,2,FALSE))</f>
        <v/>
      </c>
      <c r="E91" s="63" t="str">
        <f t="shared" ref="E91:E92" si="24">IF(VLOOKUP(G91,$C$16:$E$47,3,FALSE)="","",VLOOKUP(G91,$C$16:$E$47,3,FALSE))</f>
        <v/>
      </c>
      <c r="F91" s="64"/>
      <c r="G91" s="13"/>
      <c r="H91" s="63" t="str">
        <f t="shared" ref="H91:H98" si="25">IFERROR(VLOOKUP(G91,$G$16:$H$47,2,FALSE),"")</f>
        <v/>
      </c>
      <c r="I91" s="64"/>
      <c r="J91" s="15"/>
      <c r="K91" s="65"/>
    </row>
    <row r="92" spans="2:11" ht="22.5" customHeight="1" x14ac:dyDescent="0.3">
      <c r="B92" s="59"/>
      <c r="C92" s="1" t="s">
        <v>2</v>
      </c>
      <c r="D92" s="8" t="str">
        <f t="shared" si="23"/>
        <v/>
      </c>
      <c r="E92" s="63" t="str">
        <f t="shared" si="24"/>
        <v/>
      </c>
      <c r="F92" s="64"/>
      <c r="G92" s="13"/>
      <c r="H92" s="63" t="str">
        <f t="shared" si="25"/>
        <v/>
      </c>
      <c r="I92" s="64"/>
      <c r="J92" s="15"/>
      <c r="K92" s="65"/>
    </row>
    <row r="93" spans="2:11" ht="22.5" customHeight="1" x14ac:dyDescent="0.3">
      <c r="B93" s="59"/>
      <c r="C93" s="2" t="s">
        <v>18</v>
      </c>
      <c r="D93" s="7"/>
      <c r="E93" s="67"/>
      <c r="F93" s="68"/>
      <c r="G93" s="17"/>
      <c r="H93" s="67"/>
      <c r="I93" s="68"/>
      <c r="J93" s="16"/>
      <c r="K93" s="65"/>
    </row>
    <row r="94" spans="2:11" ht="22.5" customHeight="1" x14ac:dyDescent="0.3">
      <c r="B94" s="59"/>
      <c r="C94" s="1" t="s">
        <v>3</v>
      </c>
      <c r="D94" s="8" t="str">
        <f>IF(VLOOKUP(G94,$C$16:$E$47,2,FALSE)="","",VLOOKUP(G94,$C$16:$E$47,2,FALSE))</f>
        <v/>
      </c>
      <c r="E94" s="63" t="str">
        <f>IF(VLOOKUP(G94,$C$16:$E$47,3,FALSE)="","",VLOOKUP(G94,$C$16:$E$47,3,FALSE))</f>
        <v/>
      </c>
      <c r="F94" s="64"/>
      <c r="G94" s="13"/>
      <c r="H94" s="63" t="str">
        <f t="shared" si="25"/>
        <v/>
      </c>
      <c r="I94" s="64"/>
      <c r="J94" s="15"/>
      <c r="K94" s="65"/>
    </row>
    <row r="95" spans="2:11" ht="22.5" customHeight="1" x14ac:dyDescent="0.3">
      <c r="B95" s="59"/>
      <c r="C95" s="1" t="s">
        <v>4</v>
      </c>
      <c r="D95" s="8" t="str">
        <f t="shared" ref="D95:D98" si="26">IF(VLOOKUP(G95,$C$16:$E$47,2,FALSE)="","",VLOOKUP(G95,$C$16:$E$47,2,FALSE))</f>
        <v/>
      </c>
      <c r="E95" s="63" t="str">
        <f t="shared" ref="E95:E98" si="27">IF(VLOOKUP(G95,$C$16:$E$47,3,FALSE)="","",VLOOKUP(G95,$C$16:$E$47,3,FALSE))</f>
        <v/>
      </c>
      <c r="F95" s="64"/>
      <c r="G95" s="13"/>
      <c r="H95" s="63" t="str">
        <f t="shared" si="25"/>
        <v/>
      </c>
      <c r="I95" s="64"/>
      <c r="J95" s="15"/>
      <c r="K95" s="65"/>
    </row>
    <row r="96" spans="2:11" ht="22.5" customHeight="1" x14ac:dyDescent="0.3">
      <c r="B96" s="59"/>
      <c r="C96" s="1" t="s">
        <v>5</v>
      </c>
      <c r="D96" s="8" t="str">
        <f t="shared" si="26"/>
        <v/>
      </c>
      <c r="E96" s="63" t="str">
        <f t="shared" si="27"/>
        <v/>
      </c>
      <c r="F96" s="64"/>
      <c r="G96" s="13"/>
      <c r="H96" s="63" t="str">
        <f t="shared" si="25"/>
        <v/>
      </c>
      <c r="I96" s="64"/>
      <c r="J96" s="15"/>
      <c r="K96" s="65"/>
    </row>
    <row r="97" spans="2:11" ht="22.5" customHeight="1" x14ac:dyDescent="0.3">
      <c r="B97" s="59"/>
      <c r="C97" s="1" t="s">
        <v>6</v>
      </c>
      <c r="D97" s="8" t="str">
        <f t="shared" si="26"/>
        <v/>
      </c>
      <c r="E97" s="63" t="str">
        <f t="shared" si="27"/>
        <v/>
      </c>
      <c r="F97" s="64"/>
      <c r="G97" s="13"/>
      <c r="H97" s="63" t="str">
        <f t="shared" si="25"/>
        <v/>
      </c>
      <c r="I97" s="64"/>
      <c r="J97" s="15"/>
      <c r="K97" s="65"/>
    </row>
    <row r="98" spans="2:11" ht="22.5" customHeight="1" x14ac:dyDescent="0.3">
      <c r="B98" s="60"/>
      <c r="C98" s="1" t="s">
        <v>7</v>
      </c>
      <c r="D98" s="8" t="str">
        <f t="shared" si="26"/>
        <v/>
      </c>
      <c r="E98" s="63" t="str">
        <f t="shared" si="27"/>
        <v/>
      </c>
      <c r="F98" s="64"/>
      <c r="G98" s="13"/>
      <c r="H98" s="63" t="str">
        <f t="shared" si="25"/>
        <v/>
      </c>
      <c r="I98" s="64"/>
      <c r="J98" s="15"/>
      <c r="K98" s="66"/>
    </row>
    <row r="99" spans="2:11" ht="22.5" customHeight="1" x14ac:dyDescent="0.3"/>
    <row r="100" spans="2:11" ht="22.5" customHeight="1" x14ac:dyDescent="0.3"/>
    <row r="101" spans="2:11" ht="22.5" customHeight="1" x14ac:dyDescent="0.3"/>
    <row r="102" spans="2:11" ht="22.5" customHeight="1" x14ac:dyDescent="0.3"/>
    <row r="103" spans="2:11" ht="22.5" customHeight="1" x14ac:dyDescent="0.3"/>
    <row r="104" spans="2:11" ht="22.5" customHeight="1" x14ac:dyDescent="0.3"/>
    <row r="105" spans="2:11" ht="22.5" customHeight="1" x14ac:dyDescent="0.3"/>
    <row r="106" spans="2:11" ht="22.5" customHeight="1" x14ac:dyDescent="0.3"/>
    <row r="107" spans="2:11" ht="22.5" customHeight="1" x14ac:dyDescent="0.3"/>
    <row r="108" spans="2:11" ht="22.5" customHeight="1" x14ac:dyDescent="0.3"/>
    <row r="109" spans="2:11" ht="22.5" customHeight="1" x14ac:dyDescent="0.3"/>
    <row r="110" spans="2:11" ht="22.5" customHeight="1" x14ac:dyDescent="0.3"/>
  </sheetData>
  <sheetProtection sheet="1" objects="1" scenarios="1"/>
  <mergeCells count="135">
    <mergeCell ref="B7:B9"/>
    <mergeCell ref="C7:I7"/>
    <mergeCell ref="C8:I8"/>
    <mergeCell ref="C9:I9"/>
    <mergeCell ref="C10:I10"/>
    <mergeCell ref="C11:I11"/>
    <mergeCell ref="C1:I1"/>
    <mergeCell ref="C2:I2"/>
    <mergeCell ref="C3:I3"/>
    <mergeCell ref="C4:I4"/>
    <mergeCell ref="C5:I5"/>
    <mergeCell ref="C6:I6"/>
    <mergeCell ref="C12:I12"/>
    <mergeCell ref="B49:B58"/>
    <mergeCell ref="E49:F49"/>
    <mergeCell ref="H49:I49"/>
    <mergeCell ref="E50:F50"/>
    <mergeCell ref="H50:I50"/>
    <mergeCell ref="H55:I55"/>
    <mergeCell ref="E56:F56"/>
    <mergeCell ref="H56:I56"/>
    <mergeCell ref="E57:F57"/>
    <mergeCell ref="K50:K58"/>
    <mergeCell ref="E51:F51"/>
    <mergeCell ref="H51:I51"/>
    <mergeCell ref="E52:F52"/>
    <mergeCell ref="H52:I52"/>
    <mergeCell ref="E53:F53"/>
    <mergeCell ref="H53:I53"/>
    <mergeCell ref="E54:F54"/>
    <mergeCell ref="H54:I54"/>
    <mergeCell ref="E55:F55"/>
    <mergeCell ref="H57:I57"/>
    <mergeCell ref="E58:F58"/>
    <mergeCell ref="H58:I58"/>
    <mergeCell ref="B59:B68"/>
    <mergeCell ref="E59:F59"/>
    <mergeCell ref="H59:I59"/>
    <mergeCell ref="E60:F60"/>
    <mergeCell ref="H60:I60"/>
    <mergeCell ref="H65:I65"/>
    <mergeCell ref="E66:F66"/>
    <mergeCell ref="K60:K68"/>
    <mergeCell ref="E61:F61"/>
    <mergeCell ref="H61:I61"/>
    <mergeCell ref="E62:F62"/>
    <mergeCell ref="H62:I62"/>
    <mergeCell ref="E63:F63"/>
    <mergeCell ref="H63:I63"/>
    <mergeCell ref="E64:F64"/>
    <mergeCell ref="H64:I64"/>
    <mergeCell ref="E65:F65"/>
    <mergeCell ref="H66:I66"/>
    <mergeCell ref="E67:F67"/>
    <mergeCell ref="H67:I67"/>
    <mergeCell ref="E68:F68"/>
    <mergeCell ref="H68:I68"/>
    <mergeCell ref="B69:B78"/>
    <mergeCell ref="E69:F69"/>
    <mergeCell ref="H69:I69"/>
    <mergeCell ref="E70:F70"/>
    <mergeCell ref="H70:I70"/>
    <mergeCell ref="H75:I75"/>
    <mergeCell ref="E76:F76"/>
    <mergeCell ref="H76:I76"/>
    <mergeCell ref="E77:F77"/>
    <mergeCell ref="H77:I77"/>
    <mergeCell ref="E78:F78"/>
    <mergeCell ref="H78:I78"/>
    <mergeCell ref="K70:K78"/>
    <mergeCell ref="E71:F71"/>
    <mergeCell ref="H71:I71"/>
    <mergeCell ref="E72:F72"/>
    <mergeCell ref="H72:I72"/>
    <mergeCell ref="E73:F73"/>
    <mergeCell ref="H73:I73"/>
    <mergeCell ref="E74:F74"/>
    <mergeCell ref="H74:I74"/>
    <mergeCell ref="E75:F75"/>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H83:I83"/>
    <mergeCell ref="E84:F84"/>
    <mergeCell ref="H84:I84"/>
    <mergeCell ref="E85:F85"/>
    <mergeCell ref="H85:I85"/>
    <mergeCell ref="B89:B98"/>
    <mergeCell ref="E89:F89"/>
    <mergeCell ref="H89:I89"/>
    <mergeCell ref="E90:F90"/>
    <mergeCell ref="H90:I90"/>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J7:K7"/>
    <mergeCell ref="J8:K8"/>
    <mergeCell ref="J9:K9"/>
    <mergeCell ref="J10:K10"/>
    <mergeCell ref="J11:K11"/>
    <mergeCell ref="J12:K12"/>
    <mergeCell ref="J1:K1"/>
    <mergeCell ref="J2:K2"/>
    <mergeCell ref="J3:K3"/>
    <mergeCell ref="J4:K4"/>
    <mergeCell ref="J5:K5"/>
    <mergeCell ref="J6:K6"/>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2D86-5774-4F7C-931A-12488B8BAEFB}">
  <sheetPr codeName="Sheet8"/>
  <dimension ref="B1:K104"/>
  <sheetViews>
    <sheetView workbookViewId="0">
      <selection activeCell="C1" sqref="C1:I1"/>
    </sheetView>
  </sheetViews>
  <sheetFormatPr defaultRowHeight="16.5" x14ac:dyDescent="0.3"/>
  <cols>
    <col min="1" max="1" width="10.625" customWidth="1"/>
    <col min="2" max="2" width="13.5" customWidth="1"/>
    <col min="3" max="3" width="19.625" customWidth="1"/>
    <col min="4" max="4" width="22.875" customWidth="1"/>
    <col min="5" max="5" width="22.625" customWidth="1"/>
    <col min="6" max="6" width="9.625" customWidth="1"/>
    <col min="7" max="7" width="25.25" customWidth="1"/>
    <col min="8" max="8" width="26.75" customWidth="1"/>
    <col min="9" max="9" width="9.625" customWidth="1"/>
    <col min="10" max="10" width="28.5" customWidth="1"/>
    <col min="11" max="11" width="48.875" customWidth="1"/>
  </cols>
  <sheetData>
    <row r="1" spans="2:9" ht="21.75" customHeight="1" x14ac:dyDescent="0.3">
      <c r="B1" s="4" t="s">
        <v>23</v>
      </c>
      <c r="C1" s="72"/>
      <c r="D1" s="72"/>
      <c r="E1" s="72"/>
      <c r="F1" s="72"/>
      <c r="G1" s="72"/>
      <c r="H1" s="72"/>
      <c r="I1" s="72"/>
    </row>
    <row r="2" spans="2:9" ht="21.75" customHeight="1" x14ac:dyDescent="0.3">
      <c r="B2" s="4" t="s">
        <v>21</v>
      </c>
      <c r="C2" s="72"/>
      <c r="D2" s="72"/>
      <c r="E2" s="72"/>
      <c r="F2" s="72"/>
      <c r="G2" s="72"/>
      <c r="H2" s="72"/>
      <c r="I2" s="72"/>
    </row>
    <row r="3" spans="2:9" ht="21.75" customHeight="1" x14ac:dyDescent="0.3">
      <c r="B3" s="4" t="s">
        <v>24</v>
      </c>
      <c r="C3" s="72"/>
      <c r="D3" s="72"/>
      <c r="E3" s="72"/>
      <c r="F3" s="72"/>
      <c r="G3" s="72"/>
      <c r="H3" s="72"/>
      <c r="I3" s="72"/>
    </row>
    <row r="4" spans="2:9" ht="47.25" customHeight="1" x14ac:dyDescent="0.3">
      <c r="B4" s="4" t="s">
        <v>22</v>
      </c>
      <c r="C4" s="72"/>
      <c r="D4" s="72"/>
      <c r="E4" s="72"/>
      <c r="F4" s="72"/>
      <c r="G4" s="72"/>
      <c r="H4" s="72"/>
      <c r="I4" s="72"/>
    </row>
    <row r="5" spans="2:9" ht="28.5" customHeight="1" x14ac:dyDescent="0.3">
      <c r="B5" s="4" t="s">
        <v>25</v>
      </c>
      <c r="C5" s="72"/>
      <c r="D5" s="72"/>
      <c r="E5" s="72"/>
      <c r="F5" s="72"/>
      <c r="G5" s="72"/>
      <c r="H5" s="72"/>
      <c r="I5" s="72"/>
    </row>
    <row r="6" spans="2:9" ht="47.25" customHeight="1" x14ac:dyDescent="0.3">
      <c r="B6" s="4" t="s">
        <v>27</v>
      </c>
      <c r="C6" s="72"/>
      <c r="D6" s="72"/>
      <c r="E6" s="72"/>
      <c r="F6" s="72"/>
      <c r="G6" s="72"/>
      <c r="H6" s="72"/>
      <c r="I6" s="72"/>
    </row>
    <row r="7" spans="2:9" ht="47.25" customHeight="1" x14ac:dyDescent="0.3">
      <c r="B7" s="52" t="s">
        <v>28</v>
      </c>
      <c r="C7" s="72"/>
      <c r="D7" s="72"/>
      <c r="E7" s="72"/>
      <c r="F7" s="72"/>
      <c r="G7" s="72"/>
      <c r="H7" s="72"/>
      <c r="I7" s="72"/>
    </row>
    <row r="8" spans="2:9" ht="47.25" customHeight="1" x14ac:dyDescent="0.3">
      <c r="B8" s="52"/>
      <c r="C8" s="72"/>
      <c r="D8" s="72"/>
      <c r="E8" s="72"/>
      <c r="F8" s="72"/>
      <c r="G8" s="72"/>
      <c r="H8" s="72"/>
      <c r="I8" s="72"/>
    </row>
    <row r="9" spans="2:9" ht="47.25" customHeight="1" x14ac:dyDescent="0.3">
      <c r="B9" s="52"/>
      <c r="C9" s="72"/>
      <c r="D9" s="72"/>
      <c r="E9" s="72"/>
      <c r="F9" s="72"/>
      <c r="G9" s="72"/>
      <c r="H9" s="72"/>
      <c r="I9" s="72"/>
    </row>
    <row r="10" spans="2:9" ht="47.25" customHeight="1" x14ac:dyDescent="0.3">
      <c r="B10" s="6" t="s">
        <v>29</v>
      </c>
      <c r="C10" s="72"/>
      <c r="D10" s="72"/>
      <c r="E10" s="72"/>
      <c r="F10" s="72"/>
      <c r="G10" s="72"/>
      <c r="H10" s="72"/>
      <c r="I10" s="72"/>
    </row>
    <row r="11" spans="2:9" ht="47.25" customHeight="1" x14ac:dyDescent="0.3">
      <c r="B11" s="6" t="s">
        <v>30</v>
      </c>
      <c r="C11" s="72"/>
      <c r="D11" s="72"/>
      <c r="E11" s="72"/>
      <c r="F11" s="72"/>
      <c r="G11" s="72"/>
      <c r="H11" s="72"/>
      <c r="I11" s="72"/>
    </row>
    <row r="12" spans="2:9" ht="26.25" customHeight="1" x14ac:dyDescent="0.3">
      <c r="B12" s="4" t="s">
        <v>26</v>
      </c>
      <c r="C12" s="72"/>
      <c r="D12" s="72"/>
      <c r="E12" s="72"/>
      <c r="F12" s="72"/>
      <c r="G12" s="72"/>
      <c r="H12" s="72"/>
      <c r="I12" s="72"/>
    </row>
    <row r="13" spans="2:9" ht="22.5" customHeight="1" x14ac:dyDescent="0.3"/>
    <row r="14" spans="2:9" ht="22.5" customHeight="1" x14ac:dyDescent="0.3"/>
    <row r="15" spans="2:9" ht="22.5" customHeight="1" x14ac:dyDescent="0.3">
      <c r="D15" s="5" t="s">
        <v>10</v>
      </c>
      <c r="E15" s="5" t="s">
        <v>13</v>
      </c>
      <c r="F15" s="5" t="s">
        <v>15</v>
      </c>
      <c r="G15" s="5" t="s">
        <v>11</v>
      </c>
      <c r="H15" s="5" t="s">
        <v>12</v>
      </c>
      <c r="I15" s="5" t="s">
        <v>15</v>
      </c>
    </row>
    <row r="16" spans="2:9" ht="22.5" customHeight="1" x14ac:dyDescent="0.3">
      <c r="D16" s="1"/>
      <c r="E16" s="1"/>
      <c r="F16" s="1"/>
      <c r="G16" s="1"/>
      <c r="H16" s="1"/>
      <c r="I16" s="1"/>
    </row>
    <row r="17" spans="4:9" ht="22.5" customHeight="1" x14ac:dyDescent="0.3">
      <c r="D17" s="1"/>
      <c r="E17" s="1"/>
      <c r="F17" s="1"/>
      <c r="G17" s="1"/>
      <c r="H17" s="1"/>
      <c r="I17" s="1"/>
    </row>
    <row r="18" spans="4:9" ht="22.5" customHeight="1" x14ac:dyDescent="0.3">
      <c r="D18" s="1"/>
      <c r="E18" s="1"/>
      <c r="F18" s="1"/>
      <c r="G18" s="1"/>
      <c r="H18" s="1"/>
      <c r="I18" s="1"/>
    </row>
    <row r="19" spans="4:9" ht="22.5" customHeight="1" x14ac:dyDescent="0.3">
      <c r="D19" s="1"/>
      <c r="E19" s="1"/>
      <c r="F19" s="1"/>
      <c r="G19" s="1"/>
      <c r="H19" s="1"/>
      <c r="I19" s="1"/>
    </row>
    <row r="20" spans="4:9" ht="22.5" customHeight="1" x14ac:dyDescent="0.3">
      <c r="D20" s="1"/>
      <c r="E20" s="1"/>
      <c r="F20" s="1"/>
      <c r="G20" s="1"/>
      <c r="H20" s="1"/>
      <c r="I20" s="1"/>
    </row>
    <row r="21" spans="4:9" ht="22.5" customHeight="1" x14ac:dyDescent="0.3">
      <c r="D21" s="1"/>
      <c r="E21" s="1"/>
      <c r="F21" s="1"/>
      <c r="G21" s="1"/>
      <c r="H21" s="1"/>
      <c r="I21" s="1"/>
    </row>
    <row r="22" spans="4:9" ht="22.5" customHeight="1" x14ac:dyDescent="0.3">
      <c r="D22" s="1"/>
      <c r="E22" s="1"/>
      <c r="F22" s="1"/>
      <c r="G22" s="1"/>
      <c r="H22" s="1"/>
      <c r="I22" s="1"/>
    </row>
    <row r="23" spans="4:9" ht="22.5" customHeight="1" x14ac:dyDescent="0.3">
      <c r="D23" s="1"/>
      <c r="E23" s="1"/>
      <c r="F23" s="1"/>
      <c r="G23" s="1"/>
      <c r="H23" s="1"/>
      <c r="I23" s="1"/>
    </row>
    <row r="24" spans="4:9" ht="22.5" customHeight="1" x14ac:dyDescent="0.3">
      <c r="D24" s="1"/>
      <c r="E24" s="1"/>
      <c r="F24" s="1"/>
      <c r="G24" s="1"/>
      <c r="H24" s="1"/>
      <c r="I24" s="1"/>
    </row>
    <row r="25" spans="4:9" ht="22.5" customHeight="1" x14ac:dyDescent="0.3">
      <c r="D25" s="1"/>
      <c r="E25" s="1"/>
      <c r="F25" s="1"/>
      <c r="G25" s="1"/>
      <c r="H25" s="1"/>
      <c r="I25" s="1"/>
    </row>
    <row r="26" spans="4:9" ht="22.5" customHeight="1" x14ac:dyDescent="0.3">
      <c r="D26" s="1"/>
      <c r="E26" s="1"/>
      <c r="F26" s="1"/>
      <c r="G26" s="1"/>
      <c r="H26" s="1"/>
      <c r="I26" s="1"/>
    </row>
    <row r="27" spans="4:9" ht="22.5" customHeight="1" x14ac:dyDescent="0.3">
      <c r="D27" s="1"/>
      <c r="E27" s="1"/>
      <c r="F27" s="1"/>
      <c r="G27" s="1"/>
      <c r="H27" s="1"/>
      <c r="I27" s="1"/>
    </row>
    <row r="28" spans="4:9" ht="22.5" customHeight="1" x14ac:dyDescent="0.3">
      <c r="D28" s="1"/>
      <c r="E28" s="1"/>
      <c r="F28" s="1"/>
      <c r="G28" s="1"/>
      <c r="H28" s="1"/>
      <c r="I28" s="1"/>
    </row>
    <row r="29" spans="4:9" ht="22.5" customHeight="1" x14ac:dyDescent="0.3">
      <c r="D29" s="1"/>
      <c r="E29" s="1"/>
      <c r="F29" s="1"/>
      <c r="G29" s="1"/>
      <c r="H29" s="1"/>
      <c r="I29" s="1"/>
    </row>
    <row r="30" spans="4:9" ht="22.5" customHeight="1" x14ac:dyDescent="0.3">
      <c r="D30" s="1"/>
      <c r="E30" s="1"/>
      <c r="F30" s="1"/>
      <c r="G30" s="1"/>
      <c r="H30" s="1"/>
      <c r="I30" s="1"/>
    </row>
    <row r="31" spans="4:9" ht="22.5" customHeight="1" x14ac:dyDescent="0.3">
      <c r="D31" s="1"/>
      <c r="E31" s="1"/>
      <c r="F31" s="1"/>
      <c r="G31" s="1"/>
      <c r="H31" s="1"/>
      <c r="I31" s="1"/>
    </row>
    <row r="32" spans="4:9" ht="22.5" customHeight="1" x14ac:dyDescent="0.3">
      <c r="D32" s="1"/>
      <c r="E32" s="1"/>
      <c r="F32" s="1"/>
      <c r="G32" s="1"/>
      <c r="H32" s="1"/>
      <c r="I32" s="1"/>
    </row>
    <row r="33" spans="2:11" ht="22.5" customHeight="1" x14ac:dyDescent="0.3">
      <c r="D33" s="1"/>
      <c r="E33" s="1"/>
      <c r="F33" s="1"/>
      <c r="G33" s="1"/>
      <c r="H33" s="1"/>
      <c r="I33" s="1"/>
    </row>
    <row r="34" spans="2:11" ht="22.5" customHeight="1" x14ac:dyDescent="0.3">
      <c r="D34" s="1"/>
      <c r="E34" s="1"/>
      <c r="F34" s="1"/>
      <c r="G34" s="1"/>
      <c r="H34" s="1"/>
      <c r="I34" s="1"/>
    </row>
    <row r="35" spans="2:11" ht="22.5" customHeight="1" x14ac:dyDescent="0.3">
      <c r="D35" s="1"/>
      <c r="E35" s="1"/>
      <c r="F35" s="1"/>
      <c r="G35" s="1"/>
      <c r="H35" s="1"/>
      <c r="I35" s="1"/>
    </row>
    <row r="36" spans="2:11" ht="22.5" customHeight="1" x14ac:dyDescent="0.3">
      <c r="D36" s="1"/>
      <c r="E36" s="1"/>
      <c r="F36" s="1"/>
      <c r="G36" s="1"/>
      <c r="H36" s="1"/>
      <c r="I36" s="1"/>
    </row>
    <row r="37" spans="2:11" ht="22.5" customHeight="1" x14ac:dyDescent="0.3">
      <c r="D37" s="1"/>
      <c r="E37" s="1"/>
      <c r="F37" s="1"/>
      <c r="G37" s="1"/>
      <c r="H37" s="1"/>
      <c r="I37" s="1"/>
    </row>
    <row r="38" spans="2:11" ht="22.5" customHeight="1" x14ac:dyDescent="0.3">
      <c r="D38" s="1"/>
      <c r="E38" s="1"/>
      <c r="F38" s="1"/>
      <c r="G38" s="1"/>
      <c r="H38" s="1"/>
      <c r="I38" s="1"/>
    </row>
    <row r="39" spans="2:11" ht="22.5" customHeight="1" x14ac:dyDescent="0.3">
      <c r="D39" s="1"/>
      <c r="E39" s="1"/>
      <c r="F39" s="1"/>
      <c r="G39" s="1"/>
      <c r="H39" s="1"/>
      <c r="I39" s="1"/>
    </row>
    <row r="40" spans="2:11" ht="22.5" customHeight="1" x14ac:dyDescent="0.3">
      <c r="D40" s="1"/>
      <c r="E40" s="1"/>
      <c r="F40" s="1"/>
      <c r="G40" s="1"/>
      <c r="H40" s="1"/>
      <c r="I40" s="1"/>
    </row>
    <row r="41" spans="2:11" ht="22.5" customHeight="1" x14ac:dyDescent="0.3">
      <c r="D41" s="1"/>
      <c r="E41" s="1"/>
      <c r="F41" s="1"/>
      <c r="G41" s="1"/>
      <c r="H41" s="1"/>
      <c r="I41" s="1"/>
    </row>
    <row r="42" spans="2:11" ht="22.5" customHeight="1" x14ac:dyDescent="0.3"/>
    <row r="43" spans="2:11" ht="22.5" customHeight="1" x14ac:dyDescent="0.3">
      <c r="B43" s="58" t="s">
        <v>9</v>
      </c>
      <c r="C43" s="5" t="s">
        <v>8</v>
      </c>
      <c r="D43" s="5" t="s">
        <v>10</v>
      </c>
      <c r="E43" s="61" t="s">
        <v>13</v>
      </c>
      <c r="F43" s="62"/>
      <c r="G43" s="5" t="s">
        <v>11</v>
      </c>
      <c r="H43" s="61" t="s">
        <v>12</v>
      </c>
      <c r="I43" s="62"/>
      <c r="J43" s="5" t="s">
        <v>14</v>
      </c>
      <c r="K43" s="5" t="s">
        <v>31</v>
      </c>
    </row>
    <row r="44" spans="2:11" ht="22.5" customHeight="1" x14ac:dyDescent="0.3">
      <c r="B44" s="59"/>
      <c r="C44" s="1" t="s">
        <v>0</v>
      </c>
      <c r="D44" s="1"/>
      <c r="E44" s="73"/>
      <c r="F44" s="74"/>
      <c r="G44" s="1"/>
      <c r="H44" s="73"/>
      <c r="I44" s="74"/>
      <c r="J44" s="1"/>
      <c r="K44" s="69"/>
    </row>
    <row r="45" spans="2:11" ht="22.5" customHeight="1" x14ac:dyDescent="0.3">
      <c r="B45" s="59"/>
      <c r="C45" s="1" t="s">
        <v>1</v>
      </c>
      <c r="D45" s="1"/>
      <c r="E45" s="73"/>
      <c r="F45" s="74"/>
      <c r="G45" s="1"/>
      <c r="H45" s="73"/>
      <c r="I45" s="74"/>
      <c r="J45" s="1"/>
      <c r="K45" s="70"/>
    </row>
    <row r="46" spans="2:11" ht="22.5" customHeight="1" x14ac:dyDescent="0.3">
      <c r="B46" s="59"/>
      <c r="C46" s="1" t="s">
        <v>2</v>
      </c>
      <c r="D46" s="1"/>
      <c r="E46" s="73"/>
      <c r="F46" s="74"/>
      <c r="G46" s="1"/>
      <c r="H46" s="73"/>
      <c r="I46" s="74"/>
      <c r="J46" s="1"/>
      <c r="K46" s="70"/>
    </row>
    <row r="47" spans="2:11" ht="22.5" customHeight="1" x14ac:dyDescent="0.3">
      <c r="B47" s="59"/>
      <c r="C47" s="2" t="s">
        <v>18</v>
      </c>
      <c r="D47" s="3"/>
      <c r="E47" s="67"/>
      <c r="F47" s="68"/>
      <c r="G47" s="2"/>
      <c r="H47" s="67"/>
      <c r="I47" s="68"/>
      <c r="J47" s="2"/>
      <c r="K47" s="70"/>
    </row>
    <row r="48" spans="2:11" ht="22.5" customHeight="1" x14ac:dyDescent="0.3">
      <c r="B48" s="59"/>
      <c r="C48" s="1" t="s">
        <v>3</v>
      </c>
      <c r="D48" s="1"/>
      <c r="E48" s="73"/>
      <c r="F48" s="74"/>
      <c r="G48" s="1"/>
      <c r="H48" s="73"/>
      <c r="I48" s="74"/>
      <c r="J48" s="1"/>
      <c r="K48" s="70"/>
    </row>
    <row r="49" spans="2:11" ht="22.5" customHeight="1" x14ac:dyDescent="0.3">
      <c r="B49" s="59"/>
      <c r="C49" s="1" t="s">
        <v>4</v>
      </c>
      <c r="D49" s="1"/>
      <c r="E49" s="73"/>
      <c r="F49" s="74"/>
      <c r="G49" s="1"/>
      <c r="H49" s="73"/>
      <c r="I49" s="74"/>
      <c r="J49" s="1"/>
      <c r="K49" s="70"/>
    </row>
    <row r="50" spans="2:11" ht="22.5" customHeight="1" x14ac:dyDescent="0.3">
      <c r="B50" s="59"/>
      <c r="C50" s="1" t="s">
        <v>5</v>
      </c>
      <c r="D50" s="1"/>
      <c r="E50" s="73"/>
      <c r="F50" s="74"/>
      <c r="G50" s="1"/>
      <c r="H50" s="73"/>
      <c r="I50" s="74"/>
      <c r="J50" s="1"/>
      <c r="K50" s="70"/>
    </row>
    <row r="51" spans="2:11" ht="22.5" customHeight="1" x14ac:dyDescent="0.3">
      <c r="B51" s="59"/>
      <c r="C51" s="1" t="s">
        <v>6</v>
      </c>
      <c r="D51" s="1"/>
      <c r="E51" s="73"/>
      <c r="F51" s="74"/>
      <c r="G51" s="1"/>
      <c r="H51" s="73"/>
      <c r="I51" s="74"/>
      <c r="J51" s="1"/>
      <c r="K51" s="70"/>
    </row>
    <row r="52" spans="2:11" ht="22.5" customHeight="1" x14ac:dyDescent="0.3">
      <c r="B52" s="60"/>
      <c r="C52" s="1" t="s">
        <v>7</v>
      </c>
      <c r="D52" s="1"/>
      <c r="E52" s="73"/>
      <c r="F52" s="74"/>
      <c r="G52" s="1"/>
      <c r="H52" s="73"/>
      <c r="I52" s="74"/>
      <c r="J52" s="1"/>
      <c r="K52" s="71"/>
    </row>
    <row r="53" spans="2:11" ht="22.5" customHeight="1" x14ac:dyDescent="0.3">
      <c r="B53" s="58" t="s">
        <v>16</v>
      </c>
      <c r="C53" s="5" t="s">
        <v>8</v>
      </c>
      <c r="D53" s="5" t="s">
        <v>10</v>
      </c>
      <c r="E53" s="61" t="s">
        <v>13</v>
      </c>
      <c r="F53" s="62"/>
      <c r="G53" s="5" t="s">
        <v>11</v>
      </c>
      <c r="H53" s="61" t="s">
        <v>12</v>
      </c>
      <c r="I53" s="62"/>
      <c r="J53" s="5" t="s">
        <v>14</v>
      </c>
      <c r="K53" s="5" t="s">
        <v>32</v>
      </c>
    </row>
    <row r="54" spans="2:11" ht="22.5" customHeight="1" x14ac:dyDescent="0.3">
      <c r="B54" s="59"/>
      <c r="C54" s="1" t="s">
        <v>0</v>
      </c>
      <c r="D54" s="1"/>
      <c r="E54" s="73"/>
      <c r="F54" s="74"/>
      <c r="G54" s="1"/>
      <c r="H54" s="73"/>
      <c r="I54" s="74"/>
      <c r="J54" s="1"/>
      <c r="K54" s="69"/>
    </row>
    <row r="55" spans="2:11" ht="22.5" customHeight="1" x14ac:dyDescent="0.3">
      <c r="B55" s="59"/>
      <c r="C55" s="1" t="s">
        <v>1</v>
      </c>
      <c r="D55" s="1"/>
      <c r="E55" s="73"/>
      <c r="F55" s="74"/>
      <c r="G55" s="1"/>
      <c r="H55" s="73"/>
      <c r="I55" s="74"/>
      <c r="J55" s="1"/>
      <c r="K55" s="70"/>
    </row>
    <row r="56" spans="2:11" ht="22.5" customHeight="1" x14ac:dyDescent="0.3">
      <c r="B56" s="59"/>
      <c r="C56" s="1" t="s">
        <v>2</v>
      </c>
      <c r="D56" s="1"/>
      <c r="E56" s="73"/>
      <c r="F56" s="74"/>
      <c r="G56" s="1"/>
      <c r="H56" s="73"/>
      <c r="I56" s="74"/>
      <c r="J56" s="1"/>
      <c r="K56" s="70"/>
    </row>
    <row r="57" spans="2:11" ht="22.5" customHeight="1" x14ac:dyDescent="0.3">
      <c r="B57" s="59"/>
      <c r="C57" s="2" t="s">
        <v>18</v>
      </c>
      <c r="D57" s="3"/>
      <c r="E57" s="67"/>
      <c r="F57" s="68"/>
      <c r="G57" s="2"/>
      <c r="H57" s="67"/>
      <c r="I57" s="68"/>
      <c r="J57" s="2"/>
      <c r="K57" s="70"/>
    </row>
    <row r="58" spans="2:11" ht="22.5" customHeight="1" x14ac:dyDescent="0.3">
      <c r="B58" s="59"/>
      <c r="C58" s="1" t="s">
        <v>3</v>
      </c>
      <c r="D58" s="1"/>
      <c r="E58" s="73"/>
      <c r="F58" s="74"/>
      <c r="G58" s="1"/>
      <c r="H58" s="73"/>
      <c r="I58" s="74"/>
      <c r="J58" s="1"/>
      <c r="K58" s="70"/>
    </row>
    <row r="59" spans="2:11" ht="22.5" customHeight="1" x14ac:dyDescent="0.3">
      <c r="B59" s="59"/>
      <c r="C59" s="1" t="s">
        <v>4</v>
      </c>
      <c r="D59" s="1"/>
      <c r="E59" s="73"/>
      <c r="F59" s="74"/>
      <c r="G59" s="1"/>
      <c r="H59" s="73"/>
      <c r="I59" s="74"/>
      <c r="J59" s="1"/>
      <c r="K59" s="70"/>
    </row>
    <row r="60" spans="2:11" ht="22.5" customHeight="1" x14ac:dyDescent="0.3">
      <c r="B60" s="59"/>
      <c r="C60" s="1" t="s">
        <v>5</v>
      </c>
      <c r="D60" s="1"/>
      <c r="E60" s="73"/>
      <c r="F60" s="74"/>
      <c r="G60" s="1"/>
      <c r="H60" s="73"/>
      <c r="I60" s="74"/>
      <c r="J60" s="1"/>
      <c r="K60" s="70"/>
    </row>
    <row r="61" spans="2:11" ht="22.5" customHeight="1" x14ac:dyDescent="0.3">
      <c r="B61" s="59"/>
      <c r="C61" s="1" t="s">
        <v>6</v>
      </c>
      <c r="D61" s="1"/>
      <c r="E61" s="73"/>
      <c r="F61" s="74"/>
      <c r="G61" s="1"/>
      <c r="H61" s="73"/>
      <c r="I61" s="74"/>
      <c r="J61" s="1"/>
      <c r="K61" s="70"/>
    </row>
    <row r="62" spans="2:11" ht="22.5" customHeight="1" x14ac:dyDescent="0.3">
      <c r="B62" s="60"/>
      <c r="C62" s="1" t="s">
        <v>7</v>
      </c>
      <c r="D62" s="1"/>
      <c r="E62" s="73"/>
      <c r="F62" s="74"/>
      <c r="G62" s="1"/>
      <c r="H62" s="73"/>
      <c r="I62" s="74"/>
      <c r="J62" s="1"/>
      <c r="K62" s="71"/>
    </row>
    <row r="63" spans="2:11" ht="22.5" customHeight="1" x14ac:dyDescent="0.3">
      <c r="B63" s="58" t="s">
        <v>17</v>
      </c>
      <c r="C63" s="5" t="s">
        <v>8</v>
      </c>
      <c r="D63" s="5" t="s">
        <v>10</v>
      </c>
      <c r="E63" s="61" t="s">
        <v>13</v>
      </c>
      <c r="F63" s="62"/>
      <c r="G63" s="5" t="s">
        <v>11</v>
      </c>
      <c r="H63" s="61" t="s">
        <v>12</v>
      </c>
      <c r="I63" s="62"/>
      <c r="J63" s="5" t="s">
        <v>14</v>
      </c>
      <c r="K63" s="5" t="s">
        <v>33</v>
      </c>
    </row>
    <row r="64" spans="2:11" ht="22.5" customHeight="1" x14ac:dyDescent="0.3">
      <c r="B64" s="59"/>
      <c r="C64" s="1" t="s">
        <v>0</v>
      </c>
      <c r="D64" s="1"/>
      <c r="E64" s="73"/>
      <c r="F64" s="74"/>
      <c r="G64" s="1"/>
      <c r="H64" s="73"/>
      <c r="I64" s="74"/>
      <c r="J64" s="1"/>
      <c r="K64" s="69"/>
    </row>
    <row r="65" spans="2:11" ht="22.5" customHeight="1" x14ac:dyDescent="0.3">
      <c r="B65" s="59"/>
      <c r="C65" s="1" t="s">
        <v>1</v>
      </c>
      <c r="D65" s="1"/>
      <c r="E65" s="73"/>
      <c r="F65" s="74"/>
      <c r="G65" s="1"/>
      <c r="H65" s="73"/>
      <c r="I65" s="74"/>
      <c r="J65" s="1"/>
      <c r="K65" s="70"/>
    </row>
    <row r="66" spans="2:11" ht="22.5" customHeight="1" x14ac:dyDescent="0.3">
      <c r="B66" s="59"/>
      <c r="C66" s="1" t="s">
        <v>2</v>
      </c>
      <c r="D66" s="1"/>
      <c r="E66" s="73"/>
      <c r="F66" s="74"/>
      <c r="G66" s="1"/>
      <c r="H66" s="73"/>
      <c r="I66" s="74"/>
      <c r="J66" s="1"/>
      <c r="K66" s="70"/>
    </row>
    <row r="67" spans="2:11" ht="22.5" customHeight="1" x14ac:dyDescent="0.3">
      <c r="B67" s="59"/>
      <c r="C67" s="2" t="s">
        <v>18</v>
      </c>
      <c r="D67" s="3"/>
      <c r="E67" s="67"/>
      <c r="F67" s="68"/>
      <c r="G67" s="2"/>
      <c r="H67" s="67"/>
      <c r="I67" s="68"/>
      <c r="J67" s="2"/>
      <c r="K67" s="70"/>
    </row>
    <row r="68" spans="2:11" ht="22.5" customHeight="1" x14ac:dyDescent="0.3">
      <c r="B68" s="59"/>
      <c r="C68" s="1" t="s">
        <v>3</v>
      </c>
      <c r="D68" s="1"/>
      <c r="E68" s="73"/>
      <c r="F68" s="74"/>
      <c r="G68" s="1"/>
      <c r="H68" s="73"/>
      <c r="I68" s="74"/>
      <c r="J68" s="1"/>
      <c r="K68" s="70"/>
    </row>
    <row r="69" spans="2:11" ht="22.5" customHeight="1" x14ac:dyDescent="0.3">
      <c r="B69" s="59"/>
      <c r="C69" s="1" t="s">
        <v>4</v>
      </c>
      <c r="D69" s="1"/>
      <c r="E69" s="73"/>
      <c r="F69" s="74"/>
      <c r="G69" s="1"/>
      <c r="H69" s="73"/>
      <c r="I69" s="74"/>
      <c r="J69" s="1"/>
      <c r="K69" s="70"/>
    </row>
    <row r="70" spans="2:11" ht="22.5" customHeight="1" x14ac:dyDescent="0.3">
      <c r="B70" s="59"/>
      <c r="C70" s="1" t="s">
        <v>5</v>
      </c>
      <c r="D70" s="1"/>
      <c r="E70" s="73"/>
      <c r="F70" s="74"/>
      <c r="G70" s="1"/>
      <c r="H70" s="73"/>
      <c r="I70" s="74"/>
      <c r="J70" s="1"/>
      <c r="K70" s="70"/>
    </row>
    <row r="71" spans="2:11" ht="22.5" customHeight="1" x14ac:dyDescent="0.3">
      <c r="B71" s="59"/>
      <c r="C71" s="1" t="s">
        <v>6</v>
      </c>
      <c r="D71" s="1"/>
      <c r="E71" s="73"/>
      <c r="F71" s="74"/>
      <c r="G71" s="1"/>
      <c r="H71" s="73"/>
      <c r="I71" s="74"/>
      <c r="J71" s="1"/>
      <c r="K71" s="70"/>
    </row>
    <row r="72" spans="2:11" ht="22.5" customHeight="1" x14ac:dyDescent="0.3">
      <c r="B72" s="60"/>
      <c r="C72" s="1" t="s">
        <v>7</v>
      </c>
      <c r="D72" s="1"/>
      <c r="E72" s="73"/>
      <c r="F72" s="74"/>
      <c r="G72" s="1"/>
      <c r="H72" s="73"/>
      <c r="I72" s="74"/>
      <c r="J72" s="1"/>
      <c r="K72" s="71"/>
    </row>
    <row r="73" spans="2:11" ht="22.5" customHeight="1" x14ac:dyDescent="0.3">
      <c r="B73" s="58" t="s">
        <v>19</v>
      </c>
      <c r="C73" s="5" t="s">
        <v>8</v>
      </c>
      <c r="D73" s="5" t="s">
        <v>10</v>
      </c>
      <c r="E73" s="61" t="s">
        <v>13</v>
      </c>
      <c r="F73" s="62"/>
      <c r="G73" s="5" t="s">
        <v>11</v>
      </c>
      <c r="H73" s="61" t="s">
        <v>12</v>
      </c>
      <c r="I73" s="62"/>
      <c r="J73" s="5" t="s">
        <v>14</v>
      </c>
      <c r="K73" s="5" t="s">
        <v>34</v>
      </c>
    </row>
    <row r="74" spans="2:11" ht="22.5" customHeight="1" x14ac:dyDescent="0.3">
      <c r="B74" s="59"/>
      <c r="C74" s="1" t="s">
        <v>0</v>
      </c>
      <c r="D74" s="1"/>
      <c r="E74" s="73"/>
      <c r="F74" s="74"/>
      <c r="G74" s="1"/>
      <c r="H74" s="73"/>
      <c r="I74" s="74"/>
      <c r="J74" s="1"/>
      <c r="K74" s="69"/>
    </row>
    <row r="75" spans="2:11" ht="22.5" customHeight="1" x14ac:dyDescent="0.3">
      <c r="B75" s="59"/>
      <c r="C75" s="1" t="s">
        <v>1</v>
      </c>
      <c r="D75" s="1"/>
      <c r="E75" s="73"/>
      <c r="F75" s="74"/>
      <c r="G75" s="1"/>
      <c r="H75" s="73"/>
      <c r="I75" s="74"/>
      <c r="J75" s="1"/>
      <c r="K75" s="70"/>
    </row>
    <row r="76" spans="2:11" ht="22.5" customHeight="1" x14ac:dyDescent="0.3">
      <c r="B76" s="59"/>
      <c r="C76" s="1" t="s">
        <v>2</v>
      </c>
      <c r="D76" s="1"/>
      <c r="E76" s="73"/>
      <c r="F76" s="74"/>
      <c r="G76" s="1"/>
      <c r="H76" s="73"/>
      <c r="I76" s="74"/>
      <c r="J76" s="1"/>
      <c r="K76" s="70"/>
    </row>
    <row r="77" spans="2:11" ht="22.5" customHeight="1" x14ac:dyDescent="0.3">
      <c r="B77" s="59"/>
      <c r="C77" s="2" t="s">
        <v>18</v>
      </c>
      <c r="D77" s="3"/>
      <c r="E77" s="67"/>
      <c r="F77" s="68"/>
      <c r="G77" s="2"/>
      <c r="H77" s="67"/>
      <c r="I77" s="68"/>
      <c r="J77" s="2"/>
      <c r="K77" s="70"/>
    </row>
    <row r="78" spans="2:11" ht="22.5" customHeight="1" x14ac:dyDescent="0.3">
      <c r="B78" s="59"/>
      <c r="C78" s="1" t="s">
        <v>3</v>
      </c>
      <c r="D78" s="1"/>
      <c r="E78" s="73"/>
      <c r="F78" s="74"/>
      <c r="G78" s="1"/>
      <c r="H78" s="73"/>
      <c r="I78" s="74"/>
      <c r="J78" s="1"/>
      <c r="K78" s="70"/>
    </row>
    <row r="79" spans="2:11" ht="22.5" customHeight="1" x14ac:dyDescent="0.3">
      <c r="B79" s="59"/>
      <c r="C79" s="1" t="s">
        <v>4</v>
      </c>
      <c r="D79" s="1"/>
      <c r="E79" s="73"/>
      <c r="F79" s="74"/>
      <c r="G79" s="1"/>
      <c r="H79" s="73"/>
      <c r="I79" s="74"/>
      <c r="J79" s="1"/>
      <c r="K79" s="70"/>
    </row>
    <row r="80" spans="2:11" ht="22.5" customHeight="1" x14ac:dyDescent="0.3">
      <c r="B80" s="59"/>
      <c r="C80" s="1" t="s">
        <v>5</v>
      </c>
      <c r="D80" s="1"/>
      <c r="E80" s="73"/>
      <c r="F80" s="74"/>
      <c r="G80" s="1"/>
      <c r="H80" s="73"/>
      <c r="I80" s="74"/>
      <c r="J80" s="1"/>
      <c r="K80" s="70"/>
    </row>
    <row r="81" spans="2:11" ht="22.5" customHeight="1" x14ac:dyDescent="0.3">
      <c r="B81" s="59"/>
      <c r="C81" s="1" t="s">
        <v>6</v>
      </c>
      <c r="D81" s="1"/>
      <c r="E81" s="73"/>
      <c r="F81" s="74"/>
      <c r="G81" s="1"/>
      <c r="H81" s="73"/>
      <c r="I81" s="74"/>
      <c r="J81" s="1"/>
      <c r="K81" s="70"/>
    </row>
    <row r="82" spans="2:11" ht="22.5" customHeight="1" x14ac:dyDescent="0.3">
      <c r="B82" s="60"/>
      <c r="C82" s="1" t="s">
        <v>7</v>
      </c>
      <c r="D82" s="1"/>
      <c r="E82" s="73"/>
      <c r="F82" s="74"/>
      <c r="G82" s="1"/>
      <c r="H82" s="73"/>
      <c r="I82" s="74"/>
      <c r="J82" s="1"/>
      <c r="K82" s="71"/>
    </row>
    <row r="83" spans="2:11" ht="22.5" customHeight="1" x14ac:dyDescent="0.3">
      <c r="B83" s="58" t="s">
        <v>20</v>
      </c>
      <c r="C83" s="5" t="s">
        <v>8</v>
      </c>
      <c r="D83" s="5" t="s">
        <v>10</v>
      </c>
      <c r="E83" s="61" t="s">
        <v>13</v>
      </c>
      <c r="F83" s="62"/>
      <c r="G83" s="5" t="s">
        <v>11</v>
      </c>
      <c r="H83" s="61" t="s">
        <v>12</v>
      </c>
      <c r="I83" s="62"/>
      <c r="J83" s="5" t="s">
        <v>14</v>
      </c>
      <c r="K83" s="5" t="s">
        <v>35</v>
      </c>
    </row>
    <row r="84" spans="2:11" ht="22.5" customHeight="1" x14ac:dyDescent="0.3">
      <c r="B84" s="59"/>
      <c r="C84" s="1" t="s">
        <v>0</v>
      </c>
      <c r="D84" s="1"/>
      <c r="E84" s="73"/>
      <c r="F84" s="74"/>
      <c r="G84" s="1"/>
      <c r="H84" s="73"/>
      <c r="I84" s="74"/>
      <c r="J84" s="1"/>
      <c r="K84" s="69"/>
    </row>
    <row r="85" spans="2:11" ht="22.5" customHeight="1" x14ac:dyDescent="0.3">
      <c r="B85" s="59"/>
      <c r="C85" s="1" t="s">
        <v>1</v>
      </c>
      <c r="D85" s="1"/>
      <c r="E85" s="73"/>
      <c r="F85" s="74"/>
      <c r="G85" s="1"/>
      <c r="H85" s="73"/>
      <c r="I85" s="74"/>
      <c r="J85" s="1"/>
      <c r="K85" s="70"/>
    </row>
    <row r="86" spans="2:11" ht="22.5" customHeight="1" x14ac:dyDescent="0.3">
      <c r="B86" s="59"/>
      <c r="C86" s="1" t="s">
        <v>2</v>
      </c>
      <c r="D86" s="1"/>
      <c r="E86" s="73"/>
      <c r="F86" s="74"/>
      <c r="G86" s="1"/>
      <c r="H86" s="73"/>
      <c r="I86" s="74"/>
      <c r="J86" s="1"/>
      <c r="K86" s="70"/>
    </row>
    <row r="87" spans="2:11" ht="22.5" customHeight="1" x14ac:dyDescent="0.3">
      <c r="B87" s="59"/>
      <c r="C87" s="2" t="s">
        <v>18</v>
      </c>
      <c r="D87" s="3"/>
      <c r="E87" s="67"/>
      <c r="F87" s="68"/>
      <c r="G87" s="2"/>
      <c r="H87" s="67"/>
      <c r="I87" s="68"/>
      <c r="J87" s="2"/>
      <c r="K87" s="70"/>
    </row>
    <row r="88" spans="2:11" ht="22.5" customHeight="1" x14ac:dyDescent="0.3">
      <c r="B88" s="59"/>
      <c r="C88" s="1" t="s">
        <v>3</v>
      </c>
      <c r="D88" s="1"/>
      <c r="E88" s="73"/>
      <c r="F88" s="74"/>
      <c r="G88" s="1"/>
      <c r="H88" s="73"/>
      <c r="I88" s="74"/>
      <c r="J88" s="1"/>
      <c r="K88" s="70"/>
    </row>
    <row r="89" spans="2:11" ht="22.5" customHeight="1" x14ac:dyDescent="0.3">
      <c r="B89" s="59"/>
      <c r="C89" s="1" t="s">
        <v>4</v>
      </c>
      <c r="D89" s="1"/>
      <c r="E89" s="73"/>
      <c r="F89" s="74"/>
      <c r="G89" s="1"/>
      <c r="H89" s="73"/>
      <c r="I89" s="74"/>
      <c r="J89" s="1"/>
      <c r="K89" s="70"/>
    </row>
    <row r="90" spans="2:11" ht="22.5" customHeight="1" x14ac:dyDescent="0.3">
      <c r="B90" s="59"/>
      <c r="C90" s="1" t="s">
        <v>5</v>
      </c>
      <c r="D90" s="1"/>
      <c r="E90" s="73"/>
      <c r="F90" s="74"/>
      <c r="G90" s="1"/>
      <c r="H90" s="73"/>
      <c r="I90" s="74"/>
      <c r="J90" s="1"/>
      <c r="K90" s="70"/>
    </row>
    <row r="91" spans="2:11" ht="22.5" customHeight="1" x14ac:dyDescent="0.3">
      <c r="B91" s="59"/>
      <c r="C91" s="1" t="s">
        <v>6</v>
      </c>
      <c r="D91" s="1"/>
      <c r="E91" s="73"/>
      <c r="F91" s="74"/>
      <c r="G91" s="1"/>
      <c r="H91" s="73"/>
      <c r="I91" s="74"/>
      <c r="J91" s="1"/>
      <c r="K91" s="70"/>
    </row>
    <row r="92" spans="2:11" ht="22.5" customHeight="1" x14ac:dyDescent="0.3">
      <c r="B92" s="60"/>
      <c r="C92" s="1" t="s">
        <v>7</v>
      </c>
      <c r="D92" s="1"/>
      <c r="E92" s="73"/>
      <c r="F92" s="74"/>
      <c r="G92" s="1"/>
      <c r="H92" s="73"/>
      <c r="I92" s="74"/>
      <c r="J92" s="1"/>
      <c r="K92" s="71"/>
    </row>
    <row r="93" spans="2:11" ht="22.5" customHeight="1" x14ac:dyDescent="0.3"/>
    <row r="94" spans="2:11" ht="22.5" customHeight="1" x14ac:dyDescent="0.3"/>
    <row r="95" spans="2:11" ht="22.5" customHeight="1" x14ac:dyDescent="0.3"/>
    <row r="96" spans="2:11" ht="22.5" customHeight="1" x14ac:dyDescent="0.3"/>
    <row r="97" ht="22.5" customHeight="1" x14ac:dyDescent="0.3"/>
    <row r="98" ht="22.5" customHeight="1" x14ac:dyDescent="0.3"/>
    <row r="99" ht="22.5" customHeight="1" x14ac:dyDescent="0.3"/>
    <row r="100" ht="22.5" customHeight="1" x14ac:dyDescent="0.3"/>
    <row r="101" ht="22.5" customHeight="1" x14ac:dyDescent="0.3"/>
    <row r="102" ht="22.5" customHeight="1" x14ac:dyDescent="0.3"/>
    <row r="103" ht="22.5" customHeight="1" x14ac:dyDescent="0.3"/>
    <row r="104" ht="22.5" customHeight="1" x14ac:dyDescent="0.3"/>
  </sheetData>
  <mergeCells count="123">
    <mergeCell ref="B73:B82"/>
    <mergeCell ref="H73:I73"/>
    <mergeCell ref="B83:B92"/>
    <mergeCell ref="H83:I83"/>
    <mergeCell ref="E43:F43"/>
    <mergeCell ref="E44:F44"/>
    <mergeCell ref="E45:F45"/>
    <mergeCell ref="E46:F46"/>
    <mergeCell ref="H44:I44"/>
    <mergeCell ref="H45:I45"/>
    <mergeCell ref="B43:B52"/>
    <mergeCell ref="H43:I43"/>
    <mergeCell ref="B53:B62"/>
    <mergeCell ref="H53:I53"/>
    <mergeCell ref="B63:B72"/>
    <mergeCell ref="H63:I63"/>
    <mergeCell ref="H46:I46"/>
    <mergeCell ref="E48:F48"/>
    <mergeCell ref="E49:F49"/>
    <mergeCell ref="E50:F50"/>
    <mergeCell ref="E56:F56"/>
    <mergeCell ref="H56:I56"/>
    <mergeCell ref="E57:F57"/>
    <mergeCell ref="H57:I57"/>
    <mergeCell ref="E58:F58"/>
    <mergeCell ref="H58:I58"/>
    <mergeCell ref="H47:I47"/>
    <mergeCell ref="E47:F47"/>
    <mergeCell ref="E53:F53"/>
    <mergeCell ref="E54:F54"/>
    <mergeCell ref="H54:I54"/>
    <mergeCell ref="E55:F55"/>
    <mergeCell ref="H55:I55"/>
    <mergeCell ref="H48:I48"/>
    <mergeCell ref="H49:I49"/>
    <mergeCell ref="H50:I50"/>
    <mergeCell ref="E51:F51"/>
    <mergeCell ref="E52:F52"/>
    <mergeCell ref="H51:I51"/>
    <mergeCell ref="H52:I52"/>
    <mergeCell ref="E62:F62"/>
    <mergeCell ref="H62:I62"/>
    <mergeCell ref="E63:F63"/>
    <mergeCell ref="E64:F64"/>
    <mergeCell ref="H64:I64"/>
    <mergeCell ref="E65:F65"/>
    <mergeCell ref="H65:I65"/>
    <mergeCell ref="E59:F59"/>
    <mergeCell ref="H59:I59"/>
    <mergeCell ref="E60:F60"/>
    <mergeCell ref="H60:I60"/>
    <mergeCell ref="E61:F61"/>
    <mergeCell ref="H61:I61"/>
    <mergeCell ref="E69:F69"/>
    <mergeCell ref="H69:I69"/>
    <mergeCell ref="E70:F70"/>
    <mergeCell ref="H70:I70"/>
    <mergeCell ref="E71:F71"/>
    <mergeCell ref="H71:I71"/>
    <mergeCell ref="E66:F66"/>
    <mergeCell ref="H66:I66"/>
    <mergeCell ref="E67:F67"/>
    <mergeCell ref="H67:I67"/>
    <mergeCell ref="E68:F68"/>
    <mergeCell ref="H68:I68"/>
    <mergeCell ref="H77:I77"/>
    <mergeCell ref="E78:F78"/>
    <mergeCell ref="H78:I78"/>
    <mergeCell ref="E72:F72"/>
    <mergeCell ref="H72:I72"/>
    <mergeCell ref="E73:F73"/>
    <mergeCell ref="E74:F74"/>
    <mergeCell ref="H74:I74"/>
    <mergeCell ref="E75:F75"/>
    <mergeCell ref="H75:I75"/>
    <mergeCell ref="C1:I1"/>
    <mergeCell ref="C2:I2"/>
    <mergeCell ref="C3:I3"/>
    <mergeCell ref="C4:I4"/>
    <mergeCell ref="C5:I5"/>
    <mergeCell ref="C12:I12"/>
    <mergeCell ref="C6:I6"/>
    <mergeCell ref="E89:F89"/>
    <mergeCell ref="H89:I89"/>
    <mergeCell ref="E86:F86"/>
    <mergeCell ref="H86:I86"/>
    <mergeCell ref="E87:F87"/>
    <mergeCell ref="H87:I87"/>
    <mergeCell ref="E88:F88"/>
    <mergeCell ref="H88:I88"/>
    <mergeCell ref="E82:F82"/>
    <mergeCell ref="H82:I82"/>
    <mergeCell ref="E83:F83"/>
    <mergeCell ref="E84:F84"/>
    <mergeCell ref="H84:I84"/>
    <mergeCell ref="E85:F85"/>
    <mergeCell ref="H85:I85"/>
    <mergeCell ref="E79:F79"/>
    <mergeCell ref="H79:I79"/>
    <mergeCell ref="K64:K72"/>
    <mergeCell ref="K74:K82"/>
    <mergeCell ref="K84:K92"/>
    <mergeCell ref="K44:K52"/>
    <mergeCell ref="K54:K62"/>
    <mergeCell ref="B7:B9"/>
    <mergeCell ref="C7:I7"/>
    <mergeCell ref="C8:I8"/>
    <mergeCell ref="C9:I9"/>
    <mergeCell ref="C10:I10"/>
    <mergeCell ref="C11:I11"/>
    <mergeCell ref="E92:F92"/>
    <mergeCell ref="H92:I92"/>
    <mergeCell ref="E90:F90"/>
    <mergeCell ref="H90:I90"/>
    <mergeCell ref="E91:F91"/>
    <mergeCell ref="H91:I91"/>
    <mergeCell ref="E80:F80"/>
    <mergeCell ref="H80:I80"/>
    <mergeCell ref="E81:F81"/>
    <mergeCell ref="H81:I81"/>
    <mergeCell ref="E76:F76"/>
    <mergeCell ref="H76:I76"/>
    <mergeCell ref="E77:F77"/>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0F25-7B82-4A1E-AC09-8A0282C17CF7}">
  <dimension ref="A1:J90"/>
  <sheetViews>
    <sheetView zoomScale="85" zoomScaleNormal="85" workbookViewId="0">
      <pane xSplit="4" ySplit="1" topLeftCell="E2" activePane="bottomRight" state="frozen"/>
      <selection activeCell="B41" sqref="B41"/>
      <selection pane="topRight" activeCell="B41" sqref="B41"/>
      <selection pane="bottomLeft" activeCell="B41" sqref="B41"/>
      <selection pane="bottomRight" activeCell="I46" sqref="I46:I52"/>
    </sheetView>
  </sheetViews>
  <sheetFormatPr defaultRowHeight="16.5" x14ac:dyDescent="0.3"/>
  <cols>
    <col min="1" max="1" width="59.5" customWidth="1"/>
    <col min="2" max="2" width="16.5" customWidth="1"/>
    <col min="3" max="3" width="21.125" customWidth="1"/>
    <col min="4" max="4" width="18.25" customWidth="1"/>
    <col min="5" max="5" width="26.375" customWidth="1"/>
    <col min="6" max="6" width="12.25" customWidth="1"/>
    <col min="7" max="7" width="28.75" customWidth="1"/>
    <col min="8" max="8" width="6" customWidth="1"/>
    <col min="9" max="9" width="39.375" customWidth="1"/>
    <col min="10" max="10" width="42.375" style="38" customWidth="1"/>
  </cols>
  <sheetData>
    <row r="1" spans="1:10" x14ac:dyDescent="0.3">
      <c r="D1" s="20" t="s">
        <v>65</v>
      </c>
      <c r="E1" s="22" t="s">
        <v>64</v>
      </c>
      <c r="F1" s="21" t="s">
        <v>63</v>
      </c>
      <c r="G1" s="21" t="s">
        <v>62</v>
      </c>
      <c r="H1" s="21"/>
      <c r="I1" s="20" t="s">
        <v>61</v>
      </c>
      <c r="J1" s="21" t="s">
        <v>60</v>
      </c>
    </row>
    <row r="2" spans="1:10" x14ac:dyDescent="0.3">
      <c r="A2" t="str">
        <f>D2&amp;"&gt; "&amp;E2&amp;"&gt; "&amp;I2</f>
        <v>09.의료장비제조 &gt; 01.의료기기품질관리&gt; 의료기기 내부(품질) 감사</v>
      </c>
      <c r="B2" s="75" t="s">
        <v>256</v>
      </c>
      <c r="C2" s="75" t="s">
        <v>192</v>
      </c>
      <c r="D2" s="75" t="s">
        <v>168</v>
      </c>
      <c r="E2" s="75" t="s">
        <v>105</v>
      </c>
      <c r="F2" s="1">
        <v>5</v>
      </c>
      <c r="G2" s="1" t="s">
        <v>78</v>
      </c>
      <c r="H2" s="1" t="s">
        <v>195</v>
      </c>
      <c r="I2" s="1" t="s">
        <v>79</v>
      </c>
    </row>
    <row r="3" spans="1:10" x14ac:dyDescent="0.3">
      <c r="A3" t="str">
        <f t="shared" ref="A3:A52" si="0">D3&amp;"&gt; "&amp;E3&amp;"&gt; "&amp;I3</f>
        <v>09.의료장비제조 &gt; 01.의료기기품질관리&gt; 의료기기 품질시스템 인증</v>
      </c>
      <c r="B3" s="75" t="s">
        <v>256</v>
      </c>
      <c r="C3" s="75" t="s">
        <v>192</v>
      </c>
      <c r="D3" s="75" t="s">
        <v>167</v>
      </c>
      <c r="E3" s="75" t="s">
        <v>104</v>
      </c>
      <c r="F3" s="1">
        <v>5</v>
      </c>
      <c r="G3" s="1" t="s">
        <v>80</v>
      </c>
      <c r="H3" s="1" t="s">
        <v>196</v>
      </c>
      <c r="I3" s="1" t="s">
        <v>81</v>
      </c>
    </row>
    <row r="4" spans="1:10" x14ac:dyDescent="0.3">
      <c r="A4" t="str">
        <f t="shared" si="0"/>
        <v>09.의료장비제조 &gt; 01.의료기기품질관리&gt; 의료기기 품질문서 개발</v>
      </c>
      <c r="B4" s="75" t="s">
        <v>255</v>
      </c>
      <c r="C4" s="75" t="s">
        <v>192</v>
      </c>
      <c r="D4" s="75" t="s">
        <v>167</v>
      </c>
      <c r="E4" s="75" t="s">
        <v>104</v>
      </c>
      <c r="F4" s="1">
        <v>4</v>
      </c>
      <c r="G4" s="1" t="s">
        <v>75</v>
      </c>
      <c r="H4" s="1" t="s">
        <v>193</v>
      </c>
      <c r="I4" s="1" t="s">
        <v>74</v>
      </c>
    </row>
    <row r="5" spans="1:10" x14ac:dyDescent="0.3">
      <c r="A5" t="str">
        <f t="shared" si="0"/>
        <v>09.의료장비제조 &gt; 01.의료기기품질관리&gt; 의료기기 품질시스템 자원관리</v>
      </c>
      <c r="B5" s="75" t="s">
        <v>255</v>
      </c>
      <c r="C5" s="75" t="s">
        <v>192</v>
      </c>
      <c r="D5" s="75" t="s">
        <v>167</v>
      </c>
      <c r="E5" s="75" t="s">
        <v>104</v>
      </c>
      <c r="F5" s="1">
        <v>4</v>
      </c>
      <c r="G5" s="1" t="s">
        <v>76</v>
      </c>
      <c r="H5" s="1" t="s">
        <v>194</v>
      </c>
      <c r="I5" s="1" t="s">
        <v>77</v>
      </c>
    </row>
    <row r="6" spans="1:10" x14ac:dyDescent="0.3">
      <c r="A6" t="str">
        <f t="shared" si="0"/>
        <v>09.의료장비제조 &gt; 01.의료기기품질관리&gt; 의료기기 시제품 품질관리</v>
      </c>
      <c r="B6" s="75" t="s">
        <v>255</v>
      </c>
      <c r="C6" s="75" t="s">
        <v>192</v>
      </c>
      <c r="D6" s="75" t="s">
        <v>167</v>
      </c>
      <c r="E6" s="75" t="s">
        <v>104</v>
      </c>
      <c r="F6" s="1">
        <v>4</v>
      </c>
      <c r="G6" s="1" t="s">
        <v>82</v>
      </c>
      <c r="H6" s="1" t="s">
        <v>197</v>
      </c>
      <c r="I6" s="1" t="s">
        <v>83</v>
      </c>
    </row>
    <row r="7" spans="1:10" x14ac:dyDescent="0.3">
      <c r="A7" t="str">
        <f t="shared" si="0"/>
        <v>09.의료장비제조 &gt; 01.의료기기품질관리&gt; 시정 및 예방조치(CAPA)</v>
      </c>
      <c r="B7" s="75" t="s">
        <v>255</v>
      </c>
      <c r="C7" s="75" t="s">
        <v>192</v>
      </c>
      <c r="D7" s="75" t="s">
        <v>167</v>
      </c>
      <c r="E7" s="75" t="s">
        <v>104</v>
      </c>
      <c r="F7" s="1">
        <v>4</v>
      </c>
      <c r="G7" s="1" t="s">
        <v>84</v>
      </c>
      <c r="H7" s="1" t="s">
        <v>198</v>
      </c>
      <c r="I7" s="1" t="s">
        <v>85</v>
      </c>
    </row>
    <row r="8" spans="1:10" x14ac:dyDescent="0.3">
      <c r="A8" t="str">
        <f t="shared" si="0"/>
        <v>09.의료장비제조 &gt; 02.의료기기인·허가&gt; 임상시험</v>
      </c>
      <c r="B8" s="75" t="s">
        <v>255</v>
      </c>
      <c r="C8" s="75" t="s">
        <v>192</v>
      </c>
      <c r="D8" s="75" t="s">
        <v>167</v>
      </c>
      <c r="E8" s="75" t="s">
        <v>103</v>
      </c>
      <c r="F8" s="1">
        <v>6</v>
      </c>
      <c r="G8" s="1" t="s">
        <v>89</v>
      </c>
      <c r="H8" s="1" t="s">
        <v>195</v>
      </c>
      <c r="I8" s="1" t="s">
        <v>521</v>
      </c>
    </row>
    <row r="9" spans="1:10" x14ac:dyDescent="0.3">
      <c r="A9" t="str">
        <f t="shared" si="0"/>
        <v>09.의료장비제조 &gt; 02.의료기기인·허가&gt; 인허가정보수집</v>
      </c>
      <c r="B9" s="75" t="s">
        <v>255</v>
      </c>
      <c r="C9" s="75" t="s">
        <v>192</v>
      </c>
      <c r="D9" s="75" t="s">
        <v>167</v>
      </c>
      <c r="E9" s="75" t="s">
        <v>102</v>
      </c>
      <c r="F9" s="1">
        <v>5</v>
      </c>
      <c r="G9" s="1" t="s">
        <v>86</v>
      </c>
      <c r="H9" s="1" t="s">
        <v>193</v>
      </c>
      <c r="I9" s="1" t="s">
        <v>87</v>
      </c>
    </row>
    <row r="10" spans="1:10" x14ac:dyDescent="0.3">
      <c r="A10" t="str">
        <f t="shared" si="0"/>
        <v>09.의료장비제조 &gt; 02.의료기기인·허가&gt; 보험등재</v>
      </c>
      <c r="B10" s="75" t="s">
        <v>255</v>
      </c>
      <c r="C10" s="75" t="s">
        <v>192</v>
      </c>
      <c r="D10" s="75" t="s">
        <v>167</v>
      </c>
      <c r="E10" s="75" t="s">
        <v>102</v>
      </c>
      <c r="F10" s="1">
        <v>5</v>
      </c>
      <c r="G10" s="1" t="s">
        <v>96</v>
      </c>
      <c r="H10" s="1" t="s">
        <v>201</v>
      </c>
      <c r="I10" s="1" t="s">
        <v>97</v>
      </c>
    </row>
    <row r="11" spans="1:10" x14ac:dyDescent="0.3">
      <c r="A11" t="str">
        <f t="shared" si="0"/>
        <v>09.의료장비제조 &gt; 02.의료기기인·허가&gt; 인허가 사후관리</v>
      </c>
      <c r="B11" s="75" t="s">
        <v>255</v>
      </c>
      <c r="C11" s="75" t="s">
        <v>192</v>
      </c>
      <c r="D11" s="75" t="s">
        <v>167</v>
      </c>
      <c r="E11" s="75" t="s">
        <v>102</v>
      </c>
      <c r="F11" s="1">
        <v>5</v>
      </c>
      <c r="G11" s="1" t="s">
        <v>98</v>
      </c>
      <c r="H11" s="1" t="s">
        <v>198</v>
      </c>
      <c r="I11" s="1" t="s">
        <v>99</v>
      </c>
    </row>
    <row r="12" spans="1:10" x14ac:dyDescent="0.3">
      <c r="A12" t="str">
        <f t="shared" si="0"/>
        <v>09.의료장비제조 &gt; 02.의료기기인·허가&gt; 규격선정</v>
      </c>
      <c r="B12" s="75" t="s">
        <v>255</v>
      </c>
      <c r="C12" s="75" t="s">
        <v>192</v>
      </c>
      <c r="D12" s="75" t="s">
        <v>167</v>
      </c>
      <c r="E12" s="75" t="s">
        <v>102</v>
      </c>
      <c r="F12" s="1">
        <v>4</v>
      </c>
      <c r="G12" s="1" t="s">
        <v>90</v>
      </c>
      <c r="H12" s="1" t="s">
        <v>199</v>
      </c>
      <c r="I12" s="1" t="s">
        <v>91</v>
      </c>
    </row>
    <row r="13" spans="1:10" x14ac:dyDescent="0.3">
      <c r="A13" t="str">
        <f t="shared" si="0"/>
        <v>09.의료장비제조 &gt; 02.의료기기인·허가&gt; 기술문서준비</v>
      </c>
      <c r="B13" s="75" t="s">
        <v>255</v>
      </c>
      <c r="C13" s="75" t="s">
        <v>192</v>
      </c>
      <c r="D13" s="75" t="s">
        <v>167</v>
      </c>
      <c r="E13" s="75" t="s">
        <v>102</v>
      </c>
      <c r="F13" s="1">
        <v>4</v>
      </c>
      <c r="G13" s="1" t="s">
        <v>92</v>
      </c>
      <c r="H13" s="1" t="s">
        <v>196</v>
      </c>
      <c r="I13" s="1" t="s">
        <v>93</v>
      </c>
    </row>
    <row r="14" spans="1:10" x14ac:dyDescent="0.3">
      <c r="A14" t="str">
        <f t="shared" si="0"/>
        <v>09.의료장비제조 &gt; 02.의료기기인·허가&gt; 인허가심사</v>
      </c>
      <c r="B14" s="75" t="s">
        <v>255</v>
      </c>
      <c r="C14" s="75" t="s">
        <v>192</v>
      </c>
      <c r="D14" s="75" t="s">
        <v>167</v>
      </c>
      <c r="E14" s="75" t="s">
        <v>102</v>
      </c>
      <c r="F14" s="1">
        <v>4</v>
      </c>
      <c r="G14" s="1" t="s">
        <v>94</v>
      </c>
      <c r="H14" s="1" t="s">
        <v>200</v>
      </c>
      <c r="I14" s="1" t="s">
        <v>95</v>
      </c>
    </row>
    <row r="15" spans="1:10" x14ac:dyDescent="0.3">
      <c r="A15" t="str">
        <f t="shared" si="0"/>
        <v>09.의료장비제조 &gt; 02.의료기기인·허가&gt; 임상평가</v>
      </c>
      <c r="B15" s="75" t="s">
        <v>255</v>
      </c>
      <c r="C15" s="75" t="s">
        <v>192</v>
      </c>
      <c r="D15" s="75" t="s">
        <v>167</v>
      </c>
      <c r="E15" s="75" t="s">
        <v>102</v>
      </c>
      <c r="F15" s="1">
        <v>4</v>
      </c>
      <c r="G15" s="1" t="s">
        <v>100</v>
      </c>
      <c r="H15" s="1" t="s">
        <v>202</v>
      </c>
      <c r="I15" s="1" t="s">
        <v>101</v>
      </c>
    </row>
    <row r="16" spans="1:10" x14ac:dyDescent="0.3">
      <c r="A16" t="str">
        <f t="shared" si="0"/>
        <v>09.의료장비제조 &gt; 02.의료기기인·허가&gt; 의료기기등급분류</v>
      </c>
      <c r="B16" s="75" t="s">
        <v>255</v>
      </c>
      <c r="C16" s="75" t="s">
        <v>192</v>
      </c>
      <c r="D16" s="75" t="s">
        <v>167</v>
      </c>
      <c r="E16" s="75" t="s">
        <v>102</v>
      </c>
      <c r="F16" s="1">
        <v>3</v>
      </c>
      <c r="G16" s="1" t="s">
        <v>88</v>
      </c>
      <c r="H16" s="1" t="s">
        <v>194</v>
      </c>
      <c r="I16" s="1" t="s">
        <v>522</v>
      </c>
    </row>
    <row r="17" spans="1:9" x14ac:dyDescent="0.3">
      <c r="A17" t="str">
        <f t="shared" si="0"/>
        <v>09.의료장비제조 &gt; 03.의료기기생산&gt; 의료기기 생산계획 수립</v>
      </c>
      <c r="B17" s="75" t="s">
        <v>255</v>
      </c>
      <c r="C17" s="75" t="s">
        <v>192</v>
      </c>
      <c r="D17" s="75" t="s">
        <v>167</v>
      </c>
      <c r="E17" s="75" t="s">
        <v>107</v>
      </c>
      <c r="F17" s="1">
        <v>4</v>
      </c>
      <c r="G17" s="1" t="s">
        <v>132</v>
      </c>
      <c r="H17" s="1" t="s">
        <v>193</v>
      </c>
      <c r="I17" s="1" t="s">
        <v>133</v>
      </c>
    </row>
    <row r="18" spans="1:9" x14ac:dyDescent="0.3">
      <c r="A18" t="str">
        <f t="shared" si="0"/>
        <v>09.의료장비제조 &gt; 03.의료기기생산&gt; 의료기기 생산 구매관리</v>
      </c>
      <c r="B18" s="75" t="s">
        <v>255</v>
      </c>
      <c r="C18" s="75" t="s">
        <v>192</v>
      </c>
      <c r="D18" s="75" t="s">
        <v>167</v>
      </c>
      <c r="E18" s="75" t="s">
        <v>106</v>
      </c>
      <c r="F18" s="1">
        <v>4</v>
      </c>
      <c r="G18" s="1" t="s">
        <v>134</v>
      </c>
      <c r="H18" s="1" t="s">
        <v>194</v>
      </c>
      <c r="I18" s="1" t="s">
        <v>135</v>
      </c>
    </row>
    <row r="19" spans="1:9" x14ac:dyDescent="0.3">
      <c r="A19" t="str">
        <f t="shared" si="0"/>
        <v>09.의료장비제조 &gt; 03.의료기기생산&gt; 의료기기 생산 공정관리</v>
      </c>
      <c r="B19" s="75" t="s">
        <v>255</v>
      </c>
      <c r="C19" s="75" t="s">
        <v>192</v>
      </c>
      <c r="D19" s="75" t="s">
        <v>167</v>
      </c>
      <c r="E19" s="75" t="s">
        <v>106</v>
      </c>
      <c r="F19" s="1">
        <v>4</v>
      </c>
      <c r="G19" s="1" t="s">
        <v>140</v>
      </c>
      <c r="H19" s="1" t="s">
        <v>197</v>
      </c>
      <c r="I19" s="1" t="s">
        <v>141</v>
      </c>
    </row>
    <row r="20" spans="1:9" x14ac:dyDescent="0.3">
      <c r="A20" t="str">
        <f t="shared" si="0"/>
        <v>09.의료장비제조 &gt; 03.의료기기생산&gt; 의료기기 생산 물류관리</v>
      </c>
      <c r="B20" s="75" t="s">
        <v>255</v>
      </c>
      <c r="C20" s="75" t="s">
        <v>192</v>
      </c>
      <c r="D20" s="75" t="s">
        <v>167</v>
      </c>
      <c r="E20" s="75" t="s">
        <v>106</v>
      </c>
      <c r="F20" s="1">
        <v>4</v>
      </c>
      <c r="G20" s="1" t="s">
        <v>146</v>
      </c>
      <c r="H20" s="1" t="s">
        <v>201</v>
      </c>
      <c r="I20" s="1" t="s">
        <v>147</v>
      </c>
    </row>
    <row r="21" spans="1:9" x14ac:dyDescent="0.3">
      <c r="A21" t="str">
        <f t="shared" si="0"/>
        <v>09.의료장비제조 &gt; 03.의료기기생산&gt; 의료기기 생산 기반 시설 관리</v>
      </c>
      <c r="B21" s="75" t="s">
        <v>255</v>
      </c>
      <c r="C21" s="75" t="s">
        <v>192</v>
      </c>
      <c r="D21" s="75" t="s">
        <v>167</v>
      </c>
      <c r="E21" s="75" t="s">
        <v>106</v>
      </c>
      <c r="F21" s="1">
        <v>3</v>
      </c>
      <c r="G21" s="1" t="s">
        <v>148</v>
      </c>
      <c r="H21" s="1" t="s">
        <v>202</v>
      </c>
      <c r="I21" s="1" t="s">
        <v>523</v>
      </c>
    </row>
    <row r="22" spans="1:9" x14ac:dyDescent="0.3">
      <c r="A22" t="str">
        <f t="shared" si="0"/>
        <v>09.의료장비제조 &gt; 03.의료기기생산&gt; 의료기기 생산 자재관리</v>
      </c>
      <c r="B22" s="75" t="s">
        <v>255</v>
      </c>
      <c r="C22" s="75" t="s">
        <v>192</v>
      </c>
      <c r="D22" s="75" t="s">
        <v>167</v>
      </c>
      <c r="E22" s="75" t="s">
        <v>106</v>
      </c>
      <c r="F22" s="1">
        <v>2</v>
      </c>
      <c r="G22" s="1" t="s">
        <v>136</v>
      </c>
      <c r="H22" s="1" t="s">
        <v>199</v>
      </c>
      <c r="I22" s="1" t="s">
        <v>137</v>
      </c>
    </row>
    <row r="23" spans="1:9" x14ac:dyDescent="0.3">
      <c r="A23" t="str">
        <f t="shared" si="0"/>
        <v>09.의료장비제조 &gt; 03.의료기기생산&gt; 의료기기 제작</v>
      </c>
      <c r="B23" s="75" t="s">
        <v>255</v>
      </c>
      <c r="C23" s="75" t="s">
        <v>192</v>
      </c>
      <c r="D23" s="75" t="s">
        <v>167</v>
      </c>
      <c r="E23" s="75" t="s">
        <v>106</v>
      </c>
      <c r="F23" s="1">
        <v>2</v>
      </c>
      <c r="G23" s="1" t="s">
        <v>138</v>
      </c>
      <c r="H23" s="1" t="s">
        <v>196</v>
      </c>
      <c r="I23" s="1" t="s">
        <v>139</v>
      </c>
    </row>
    <row r="24" spans="1:9" x14ac:dyDescent="0.3">
      <c r="A24" t="str">
        <f t="shared" si="0"/>
        <v>09.의료장비제조 &gt; 03.의료기기생산&gt; 의료기기 생산 제품검사</v>
      </c>
      <c r="B24" s="75" t="s">
        <v>255</v>
      </c>
      <c r="C24" s="75" t="s">
        <v>192</v>
      </c>
      <c r="D24" s="75" t="s">
        <v>167</v>
      </c>
      <c r="E24" s="75" t="s">
        <v>106</v>
      </c>
      <c r="F24" s="1">
        <v>2</v>
      </c>
      <c r="G24" s="1" t="s">
        <v>142</v>
      </c>
      <c r="H24" s="1" t="s">
        <v>203</v>
      </c>
      <c r="I24" s="1" t="s">
        <v>143</v>
      </c>
    </row>
    <row r="25" spans="1:9" x14ac:dyDescent="0.3">
      <c r="A25" t="str">
        <f t="shared" si="0"/>
        <v>09.의료장비제조 &gt; 03.의료기기생산&gt; 의료기기 생산 포장관리</v>
      </c>
      <c r="B25" s="75" t="s">
        <v>255</v>
      </c>
      <c r="C25" s="75" t="s">
        <v>192</v>
      </c>
      <c r="D25" s="75" t="s">
        <v>167</v>
      </c>
      <c r="E25" s="75" t="s">
        <v>106</v>
      </c>
      <c r="F25" s="1">
        <v>2</v>
      </c>
      <c r="G25" s="1" t="s">
        <v>144</v>
      </c>
      <c r="H25" s="1" t="s">
        <v>200</v>
      </c>
      <c r="I25" s="1" t="s">
        <v>145</v>
      </c>
    </row>
    <row r="26" spans="1:9" x14ac:dyDescent="0.3">
      <c r="A26" t="str">
        <f t="shared" si="0"/>
        <v>09.의료장비제조 &gt; 04.의료기기연구개발&gt; 의료기기 연구개발기획</v>
      </c>
      <c r="B26" s="75" t="s">
        <v>255</v>
      </c>
      <c r="C26" s="75" t="s">
        <v>192</v>
      </c>
      <c r="D26" s="75" t="s">
        <v>167</v>
      </c>
      <c r="E26" s="75" t="s">
        <v>109</v>
      </c>
      <c r="F26" s="1">
        <v>5</v>
      </c>
      <c r="G26" s="1" t="s">
        <v>149</v>
      </c>
      <c r="H26" s="1" t="s">
        <v>193</v>
      </c>
      <c r="I26" s="1" t="s">
        <v>150</v>
      </c>
    </row>
    <row r="27" spans="1:9" x14ac:dyDescent="0.3">
      <c r="A27" t="str">
        <f t="shared" si="0"/>
        <v>09.의료장비제조 &gt; 04.의료기기연구개발&gt; 의료기기 개발 계획 수립</v>
      </c>
      <c r="B27" s="75" t="s">
        <v>255</v>
      </c>
      <c r="C27" s="75" t="s">
        <v>192</v>
      </c>
      <c r="D27" s="75" t="s">
        <v>167</v>
      </c>
      <c r="E27" s="75" t="s">
        <v>108</v>
      </c>
      <c r="F27" s="1">
        <v>5</v>
      </c>
      <c r="G27" s="1" t="s">
        <v>151</v>
      </c>
      <c r="H27" s="1" t="s">
        <v>194</v>
      </c>
      <c r="I27" s="1" t="s">
        <v>152</v>
      </c>
    </row>
    <row r="28" spans="1:9" x14ac:dyDescent="0.3">
      <c r="A28" t="str">
        <f t="shared" si="0"/>
        <v>09.의료장비제조 &gt; 04.의료기기연구개발&gt; 의료기기 개발 위험관리</v>
      </c>
      <c r="B28" s="75" t="s">
        <v>255</v>
      </c>
      <c r="C28" s="75" t="s">
        <v>192</v>
      </c>
      <c r="D28" s="75" t="s">
        <v>167</v>
      </c>
      <c r="E28" s="75" t="s">
        <v>108</v>
      </c>
      <c r="F28" s="1">
        <v>4</v>
      </c>
      <c r="G28" s="1" t="s">
        <v>153</v>
      </c>
      <c r="H28" s="1" t="s">
        <v>195</v>
      </c>
      <c r="I28" s="1" t="s">
        <v>154</v>
      </c>
    </row>
    <row r="29" spans="1:9" x14ac:dyDescent="0.3">
      <c r="A29" t="str">
        <f t="shared" si="0"/>
        <v>09.의료장비제조 &gt; 04.의료기기연구개발&gt; 의료기기 개발문서 작성관리</v>
      </c>
      <c r="B29" s="75" t="s">
        <v>255</v>
      </c>
      <c r="C29" s="75" t="s">
        <v>192</v>
      </c>
      <c r="D29" s="75" t="s">
        <v>167</v>
      </c>
      <c r="E29" s="75" t="s">
        <v>108</v>
      </c>
      <c r="F29" s="1">
        <v>4</v>
      </c>
      <c r="G29" s="1" t="s">
        <v>163</v>
      </c>
      <c r="H29" s="1" t="s">
        <v>201</v>
      </c>
      <c r="I29" s="1" t="s">
        <v>164</v>
      </c>
    </row>
    <row r="30" spans="1:9" x14ac:dyDescent="0.3">
      <c r="A30" t="str">
        <f t="shared" si="0"/>
        <v>09.의료장비제조 &gt; 04.의료기기연구개발&gt; 의료기기 설계 이관</v>
      </c>
      <c r="B30" s="75" t="s">
        <v>255</v>
      </c>
      <c r="C30" s="75" t="s">
        <v>192</v>
      </c>
      <c r="D30" s="75" t="s">
        <v>167</v>
      </c>
      <c r="E30" s="75" t="s">
        <v>108</v>
      </c>
      <c r="F30" s="1">
        <v>4</v>
      </c>
      <c r="G30" s="1" t="s">
        <v>165</v>
      </c>
      <c r="H30" s="1" t="s">
        <v>198</v>
      </c>
      <c r="I30" s="1" t="s">
        <v>166</v>
      </c>
    </row>
    <row r="31" spans="1:9" x14ac:dyDescent="0.3">
      <c r="A31" t="str">
        <f t="shared" si="0"/>
        <v>09.의료장비제조 &gt; 04.의료기기연구개발&gt; 의료기기 하드웨어 설계제작</v>
      </c>
      <c r="B31" s="75" t="s">
        <v>255</v>
      </c>
      <c r="C31" s="75" t="s">
        <v>192</v>
      </c>
      <c r="D31" s="75" t="s">
        <v>167</v>
      </c>
      <c r="E31" s="75" t="s">
        <v>108</v>
      </c>
      <c r="F31" s="1">
        <v>3</v>
      </c>
      <c r="G31" s="1" t="s">
        <v>155</v>
      </c>
      <c r="H31" s="1" t="s">
        <v>199</v>
      </c>
      <c r="I31" s="1" t="s">
        <v>156</v>
      </c>
    </row>
    <row r="32" spans="1:9" x14ac:dyDescent="0.3">
      <c r="A32" t="str">
        <f t="shared" si="0"/>
        <v>09.의료장비제조 &gt; 04.의료기기연구개발&gt; 의료기기 소프트웨어 설계제작</v>
      </c>
      <c r="B32" s="75" t="s">
        <v>255</v>
      </c>
      <c r="C32" s="75" t="s">
        <v>192</v>
      </c>
      <c r="D32" s="75" t="s">
        <v>167</v>
      </c>
      <c r="E32" s="75" t="s">
        <v>108</v>
      </c>
      <c r="F32" s="1">
        <v>3</v>
      </c>
      <c r="G32" s="1" t="s">
        <v>157</v>
      </c>
      <c r="H32" s="1" t="s">
        <v>196</v>
      </c>
      <c r="I32" s="1" t="s">
        <v>158</v>
      </c>
    </row>
    <row r="33" spans="1:10" x14ac:dyDescent="0.3">
      <c r="A33" t="str">
        <f t="shared" si="0"/>
        <v>09.의료장비제조 &gt; 04.의료기기연구개발&gt; 의료기기 기구 설계제작</v>
      </c>
      <c r="B33" s="75" t="s">
        <v>255</v>
      </c>
      <c r="C33" s="75" t="s">
        <v>192</v>
      </c>
      <c r="D33" s="75" t="s">
        <v>167</v>
      </c>
      <c r="E33" s="75" t="s">
        <v>108</v>
      </c>
      <c r="F33" s="1">
        <v>3</v>
      </c>
      <c r="G33" s="1" t="s">
        <v>159</v>
      </c>
      <c r="H33" s="1" t="s">
        <v>197</v>
      </c>
      <c r="I33" s="1" t="s">
        <v>160</v>
      </c>
    </row>
    <row r="34" spans="1:10" x14ac:dyDescent="0.3">
      <c r="A34" t="str">
        <f t="shared" si="0"/>
        <v>09.의료장비제조 &gt; 04.의료기기연구개발&gt; 의료기기 안전성 유효성 검사</v>
      </c>
      <c r="B34" s="75" t="s">
        <v>255</v>
      </c>
      <c r="C34" s="75" t="s">
        <v>192</v>
      </c>
      <c r="D34" s="75" t="s">
        <v>167</v>
      </c>
      <c r="E34" s="75" t="s">
        <v>108</v>
      </c>
      <c r="F34" s="1">
        <v>3</v>
      </c>
      <c r="G34" s="1" t="s">
        <v>161</v>
      </c>
      <c r="H34" s="1" t="s">
        <v>203</v>
      </c>
      <c r="I34" s="1" t="s">
        <v>162</v>
      </c>
    </row>
    <row r="35" spans="1:10" x14ac:dyDescent="0.3">
      <c r="A35" t="str">
        <f t="shared" si="0"/>
        <v>10.광기술개발&gt; 07.광의료기기개발&gt; 광의료기기개발 기획</v>
      </c>
      <c r="B35" s="75" t="s">
        <v>255</v>
      </c>
      <c r="C35" s="75" t="s">
        <v>192</v>
      </c>
      <c r="D35" s="75" t="s">
        <v>111</v>
      </c>
      <c r="E35" s="75" t="s">
        <v>113</v>
      </c>
      <c r="F35" s="1">
        <v>5</v>
      </c>
      <c r="G35" s="1" t="s">
        <v>114</v>
      </c>
      <c r="H35" s="1" t="s">
        <v>193</v>
      </c>
      <c r="I35" s="1" t="s">
        <v>115</v>
      </c>
    </row>
    <row r="36" spans="1:10" x14ac:dyDescent="0.3">
      <c r="A36" t="str">
        <f t="shared" si="0"/>
        <v>10.광기술개발&gt; 07.광의료기기개발&gt; 광의료기기개발 전략수립</v>
      </c>
      <c r="B36" s="75" t="s">
        <v>255</v>
      </c>
      <c r="C36" s="75" t="s">
        <v>192</v>
      </c>
      <c r="D36" s="75" t="s">
        <v>110</v>
      </c>
      <c r="E36" s="75" t="s">
        <v>112</v>
      </c>
      <c r="F36" s="1">
        <v>5</v>
      </c>
      <c r="G36" s="1" t="s">
        <v>116</v>
      </c>
      <c r="H36" s="1" t="s">
        <v>194</v>
      </c>
      <c r="I36" s="1" t="s">
        <v>117</v>
      </c>
    </row>
    <row r="37" spans="1:10" x14ac:dyDescent="0.3">
      <c r="A37" t="str">
        <f t="shared" si="0"/>
        <v>10.광기술개발&gt; 07.광의료기기개발&gt; 광의료기기 시스템 개발</v>
      </c>
      <c r="B37" s="75" t="s">
        <v>255</v>
      </c>
      <c r="C37" s="75" t="s">
        <v>192</v>
      </c>
      <c r="D37" s="75" t="s">
        <v>110</v>
      </c>
      <c r="E37" s="75" t="s">
        <v>112</v>
      </c>
      <c r="F37" s="1">
        <v>5</v>
      </c>
      <c r="G37" s="1" t="s">
        <v>120</v>
      </c>
      <c r="H37" s="1" t="s">
        <v>196</v>
      </c>
      <c r="I37" s="1" t="s">
        <v>121</v>
      </c>
    </row>
    <row r="38" spans="1:10" x14ac:dyDescent="0.3">
      <c r="A38" t="str">
        <f t="shared" si="0"/>
        <v>10.광기술개발&gt; 07.광의료기기개발&gt; 광의료기기 소프트웨어 개발</v>
      </c>
      <c r="B38" s="75" t="s">
        <v>255</v>
      </c>
      <c r="C38" s="75" t="s">
        <v>192</v>
      </c>
      <c r="D38" s="75" t="s">
        <v>110</v>
      </c>
      <c r="E38" s="75" t="s">
        <v>112</v>
      </c>
      <c r="F38" s="1">
        <v>5</v>
      </c>
      <c r="G38" s="1" t="s">
        <v>122</v>
      </c>
      <c r="H38" s="1" t="s">
        <v>197</v>
      </c>
      <c r="I38" s="1" t="s">
        <v>123</v>
      </c>
    </row>
    <row r="39" spans="1:10" x14ac:dyDescent="0.3">
      <c r="A39" t="str">
        <f t="shared" si="0"/>
        <v>10.광기술개발&gt; 07.광의료기기개발&gt; 광의료기기 광학모듈 개발</v>
      </c>
      <c r="B39" s="75" t="s">
        <v>255</v>
      </c>
      <c r="C39" s="75" t="s">
        <v>192</v>
      </c>
      <c r="D39" s="75" t="s">
        <v>110</v>
      </c>
      <c r="E39" s="75" t="s">
        <v>112</v>
      </c>
      <c r="F39" s="1">
        <v>4</v>
      </c>
      <c r="G39" s="1" t="s">
        <v>118</v>
      </c>
      <c r="H39" s="1" t="s">
        <v>199</v>
      </c>
      <c r="I39" s="1" t="s">
        <v>119</v>
      </c>
    </row>
    <row r="40" spans="1:10" x14ac:dyDescent="0.3">
      <c r="A40" t="str">
        <f t="shared" si="0"/>
        <v>10.광기술개발&gt; 07.광의료기기개발&gt; 광의료기기 비임상·임상 시험</v>
      </c>
      <c r="B40" s="75" t="s">
        <v>255</v>
      </c>
      <c r="C40" s="75" t="s">
        <v>192</v>
      </c>
      <c r="D40" s="75" t="s">
        <v>110</v>
      </c>
      <c r="E40" s="75" t="s">
        <v>112</v>
      </c>
      <c r="F40" s="1">
        <v>4</v>
      </c>
      <c r="G40" s="1" t="s">
        <v>124</v>
      </c>
      <c r="H40" s="1" t="s">
        <v>200</v>
      </c>
      <c r="I40" s="1" t="s">
        <v>125</v>
      </c>
    </row>
    <row r="41" spans="1:10" x14ac:dyDescent="0.3">
      <c r="A41" t="str">
        <f t="shared" si="0"/>
        <v>10.광기술개발&gt; 07.광의료기기개발&gt; 광의료기기 인증관리</v>
      </c>
      <c r="B41" s="75" t="s">
        <v>255</v>
      </c>
      <c r="C41" s="75" t="s">
        <v>192</v>
      </c>
      <c r="D41" s="75" t="s">
        <v>110</v>
      </c>
      <c r="E41" s="75" t="s">
        <v>112</v>
      </c>
      <c r="F41" s="1">
        <v>4</v>
      </c>
      <c r="G41" s="1" t="s">
        <v>126</v>
      </c>
      <c r="H41" s="1" t="s">
        <v>201</v>
      </c>
      <c r="I41" s="1" t="s">
        <v>127</v>
      </c>
    </row>
    <row r="42" spans="1:10" x14ac:dyDescent="0.3">
      <c r="A42" t="str">
        <f t="shared" si="0"/>
        <v>10.광기술개발&gt; 07.광의료기기개발&gt; 광의료기기 양산이관</v>
      </c>
      <c r="B42" s="75" t="s">
        <v>255</v>
      </c>
      <c r="C42" s="75" t="s">
        <v>192</v>
      </c>
      <c r="D42" s="75" t="s">
        <v>110</v>
      </c>
      <c r="E42" s="75" t="s">
        <v>112</v>
      </c>
      <c r="F42" s="1">
        <v>4</v>
      </c>
      <c r="G42" s="1" t="s">
        <v>128</v>
      </c>
      <c r="H42" s="1" t="s">
        <v>202</v>
      </c>
      <c r="I42" s="1" t="s">
        <v>129</v>
      </c>
    </row>
    <row r="43" spans="1:10" x14ac:dyDescent="0.3">
      <c r="A43" t="str">
        <f t="shared" si="0"/>
        <v>10.광기술개발&gt; 07.광의료기기개발&gt; 광의료기기 기구개발</v>
      </c>
      <c r="B43" s="58" t="s">
        <v>255</v>
      </c>
      <c r="C43" s="58" t="s">
        <v>192</v>
      </c>
      <c r="D43" s="58" t="s">
        <v>110</v>
      </c>
      <c r="E43" s="58" t="s">
        <v>112</v>
      </c>
      <c r="F43" s="37">
        <v>4</v>
      </c>
      <c r="G43" s="37" t="s">
        <v>130</v>
      </c>
      <c r="H43" s="37" t="s">
        <v>204</v>
      </c>
      <c r="I43" s="37" t="s">
        <v>131</v>
      </c>
    </row>
    <row r="44" spans="1:10" ht="15" customHeight="1" x14ac:dyDescent="0.3">
      <c r="A44" t="str">
        <f t="shared" si="0"/>
        <v>07.인공지능 &gt; 08.생성형AI엔지니어링&gt; 생성형 AI 기반 프로덕트 목표 수립</v>
      </c>
      <c r="B44" s="75" t="s">
        <v>254</v>
      </c>
      <c r="C44" s="75" t="s">
        <v>253</v>
      </c>
      <c r="D44" s="75" t="s">
        <v>252</v>
      </c>
      <c r="E44" s="75" t="s">
        <v>520</v>
      </c>
      <c r="F44" s="34">
        <v>7</v>
      </c>
      <c r="G44" s="34" t="s">
        <v>233</v>
      </c>
      <c r="H44" s="34" t="s">
        <v>193</v>
      </c>
      <c r="I44" s="34" t="s">
        <v>242</v>
      </c>
      <c r="J44" s="39" t="s">
        <v>323</v>
      </c>
    </row>
    <row r="45" spans="1:10" ht="15" customHeight="1" x14ac:dyDescent="0.3">
      <c r="A45" t="str">
        <f t="shared" si="0"/>
        <v>07.인공지능 &gt; 07.생성형AI엔지니어링&gt; 생성형 AI 모델 학습</v>
      </c>
      <c r="B45" s="75" t="s">
        <v>254</v>
      </c>
      <c r="C45" s="75" t="s">
        <v>253</v>
      </c>
      <c r="D45" s="75" t="s">
        <v>252</v>
      </c>
      <c r="E45" s="75" t="s">
        <v>251</v>
      </c>
      <c r="F45" s="34">
        <v>6</v>
      </c>
      <c r="G45" s="34" t="s">
        <v>236</v>
      </c>
      <c r="H45" s="34" t="s">
        <v>199</v>
      </c>
      <c r="I45" s="34" t="s">
        <v>245</v>
      </c>
      <c r="J45" s="39" t="s">
        <v>329</v>
      </c>
    </row>
    <row r="46" spans="1:10" ht="15" customHeight="1" x14ac:dyDescent="0.3">
      <c r="A46" t="str">
        <f t="shared" si="0"/>
        <v>07.인공지능 &gt; 07.생성형AI엔지니어링&gt; 생성형 AI 모델 선정</v>
      </c>
      <c r="B46" s="75" t="s">
        <v>254</v>
      </c>
      <c r="C46" s="75" t="s">
        <v>253</v>
      </c>
      <c r="D46" s="75" t="s">
        <v>252</v>
      </c>
      <c r="E46" s="75" t="s">
        <v>251</v>
      </c>
      <c r="F46" s="34">
        <v>5</v>
      </c>
      <c r="G46" s="34" t="s">
        <v>234</v>
      </c>
      <c r="H46" s="34" t="s">
        <v>194</v>
      </c>
      <c r="I46" s="34" t="s">
        <v>243</v>
      </c>
      <c r="J46" s="39" t="s">
        <v>325</v>
      </c>
    </row>
    <row r="47" spans="1:10" ht="15" customHeight="1" x14ac:dyDescent="0.3">
      <c r="A47" t="str">
        <f t="shared" si="0"/>
        <v>07.인공지능 &gt; 07.생성형AI엔지니어링&gt; 생성형 AI 데이터 준비</v>
      </c>
      <c r="B47" s="75" t="s">
        <v>254</v>
      </c>
      <c r="C47" s="75" t="s">
        <v>253</v>
      </c>
      <c r="D47" s="75" t="s">
        <v>252</v>
      </c>
      <c r="E47" s="75" t="s">
        <v>251</v>
      </c>
      <c r="F47" s="34">
        <v>5</v>
      </c>
      <c r="G47" s="34" t="s">
        <v>235</v>
      </c>
      <c r="H47" s="34" t="s">
        <v>195</v>
      </c>
      <c r="I47" s="34" t="s">
        <v>244</v>
      </c>
      <c r="J47" s="39" t="s">
        <v>327</v>
      </c>
    </row>
    <row r="48" spans="1:10" ht="15" customHeight="1" x14ac:dyDescent="0.3">
      <c r="A48" t="str">
        <f t="shared" si="0"/>
        <v>07.인공지능 &gt; 07.생성형AI엔지니어링&gt; 프롬프트 구현</v>
      </c>
      <c r="B48" s="75" t="s">
        <v>254</v>
      </c>
      <c r="C48" s="75" t="s">
        <v>253</v>
      </c>
      <c r="D48" s="75" t="s">
        <v>252</v>
      </c>
      <c r="E48" s="75" t="s">
        <v>251</v>
      </c>
      <c r="F48" s="34">
        <v>5</v>
      </c>
      <c r="G48" s="34" t="s">
        <v>344</v>
      </c>
      <c r="H48" s="34" t="s">
        <v>196</v>
      </c>
      <c r="I48" s="34" t="s">
        <v>246</v>
      </c>
      <c r="J48" s="39" t="s">
        <v>331</v>
      </c>
    </row>
    <row r="49" spans="1:10" ht="15" customHeight="1" x14ac:dyDescent="0.3">
      <c r="A49" t="str">
        <f t="shared" si="0"/>
        <v>07.인공지능 &gt; 07.생성형AI엔지니어링&gt; 프롬프트 최적화</v>
      </c>
      <c r="B49" s="75" t="s">
        <v>254</v>
      </c>
      <c r="C49" s="75" t="s">
        <v>253</v>
      </c>
      <c r="D49" s="75" t="s">
        <v>252</v>
      </c>
      <c r="E49" s="75" t="s">
        <v>251</v>
      </c>
      <c r="F49" s="34">
        <v>5</v>
      </c>
      <c r="G49" s="34" t="s">
        <v>238</v>
      </c>
      <c r="H49" s="34" t="s">
        <v>197</v>
      </c>
      <c r="I49" s="34" t="s">
        <v>247</v>
      </c>
      <c r="J49" s="39" t="s">
        <v>333</v>
      </c>
    </row>
    <row r="50" spans="1:10" ht="15" customHeight="1" x14ac:dyDescent="0.3">
      <c r="A50" t="str">
        <f t="shared" si="0"/>
        <v>07.인공지능 &gt; 07.생성형AI엔지니어링&gt; 생성형 AI 기반 프로덕트 제작</v>
      </c>
      <c r="B50" s="75" t="s">
        <v>254</v>
      </c>
      <c r="C50" s="75" t="s">
        <v>253</v>
      </c>
      <c r="D50" s="75" t="s">
        <v>252</v>
      </c>
      <c r="E50" s="75" t="s">
        <v>251</v>
      </c>
      <c r="F50" s="34">
        <v>5</v>
      </c>
      <c r="G50" s="34" t="s">
        <v>239</v>
      </c>
      <c r="H50" s="34" t="s">
        <v>203</v>
      </c>
      <c r="I50" s="34" t="s">
        <v>248</v>
      </c>
      <c r="J50" s="39" t="s">
        <v>335</v>
      </c>
    </row>
    <row r="51" spans="1:10" ht="15" customHeight="1" x14ac:dyDescent="0.3">
      <c r="A51" t="str">
        <f t="shared" si="0"/>
        <v>07.인공지능 &gt; 07.생성형AI엔지니어링&gt; 생성형 AI 기반 프로덕트 검증</v>
      </c>
      <c r="B51" s="75" t="s">
        <v>254</v>
      </c>
      <c r="C51" s="75" t="s">
        <v>253</v>
      </c>
      <c r="D51" s="75" t="s">
        <v>252</v>
      </c>
      <c r="E51" s="75" t="s">
        <v>251</v>
      </c>
      <c r="F51" s="34">
        <v>5</v>
      </c>
      <c r="G51" s="34" t="s">
        <v>240</v>
      </c>
      <c r="H51" s="34" t="s">
        <v>200</v>
      </c>
      <c r="I51" s="34" t="s">
        <v>249</v>
      </c>
      <c r="J51" s="39" t="s">
        <v>337</v>
      </c>
    </row>
    <row r="52" spans="1:10" ht="15" customHeight="1" x14ac:dyDescent="0.3">
      <c r="A52" t="str">
        <f t="shared" si="0"/>
        <v>07.인공지능 &gt; 07.생성형AI엔지니어링&gt; 생성형 AI 기반 프로덕트 배포</v>
      </c>
      <c r="B52" s="75" t="s">
        <v>254</v>
      </c>
      <c r="C52" s="75" t="s">
        <v>253</v>
      </c>
      <c r="D52" s="75" t="s">
        <v>252</v>
      </c>
      <c r="E52" s="75" t="s">
        <v>251</v>
      </c>
      <c r="F52" s="34">
        <v>5</v>
      </c>
      <c r="G52" s="34" t="s">
        <v>241</v>
      </c>
      <c r="H52" s="34" t="s">
        <v>201</v>
      </c>
      <c r="I52" s="34" t="s">
        <v>250</v>
      </c>
      <c r="J52" s="39" t="s">
        <v>339</v>
      </c>
    </row>
    <row r="53" spans="1:10" x14ac:dyDescent="0.3">
      <c r="B53" s="35"/>
      <c r="C53" s="35"/>
      <c r="D53" s="35"/>
      <c r="E53" s="35"/>
    </row>
    <row r="54" spans="1:10" x14ac:dyDescent="0.3">
      <c r="B54" s="35"/>
      <c r="C54" s="35"/>
      <c r="D54" s="35"/>
      <c r="E54" s="35"/>
    </row>
    <row r="55" spans="1:10" x14ac:dyDescent="0.3">
      <c r="B55" s="35"/>
      <c r="C55" s="35"/>
      <c r="D55" s="35"/>
      <c r="E55" s="35"/>
    </row>
    <row r="86" spans="6:9" x14ac:dyDescent="0.3">
      <c r="F86" t="s">
        <v>192</v>
      </c>
      <c r="G86" t="s">
        <v>167</v>
      </c>
      <c r="I86" t="s">
        <v>104</v>
      </c>
    </row>
    <row r="87" spans="6:9" x14ac:dyDescent="0.3">
      <c r="F87" t="s">
        <v>192</v>
      </c>
      <c r="G87" t="s">
        <v>167</v>
      </c>
      <c r="I87" t="s">
        <v>102</v>
      </c>
    </row>
    <row r="88" spans="6:9" x14ac:dyDescent="0.3">
      <c r="F88" t="s">
        <v>192</v>
      </c>
      <c r="G88" t="s">
        <v>167</v>
      </c>
      <c r="I88" t="s">
        <v>106</v>
      </c>
    </row>
    <row r="89" spans="6:9" x14ac:dyDescent="0.3">
      <c r="F89" t="s">
        <v>192</v>
      </c>
      <c r="G89" t="s">
        <v>167</v>
      </c>
      <c r="I89" t="s">
        <v>108</v>
      </c>
    </row>
    <row r="90" spans="6:9" x14ac:dyDescent="0.3">
      <c r="G90" t="s">
        <v>110</v>
      </c>
      <c r="I90" t="s">
        <v>112</v>
      </c>
    </row>
  </sheetData>
  <autoFilter ref="D1:J1" xr:uid="{00000000-0009-0000-0000-000000000000}">
    <filterColumn colId="2" showButton="0"/>
  </autoFilter>
  <sortState xmlns:xlrd2="http://schemas.microsoft.com/office/spreadsheetml/2017/richdata2" ref="F8:I16">
    <sortCondition descending="1" ref="F8:F16"/>
    <sortCondition ref="H8:H16"/>
  </sortState>
  <mergeCells count="13">
    <mergeCell ref="B44:B52"/>
    <mergeCell ref="C44:C52"/>
    <mergeCell ref="D44:D52"/>
    <mergeCell ref="E44:E52"/>
    <mergeCell ref="B2:B43"/>
    <mergeCell ref="D35:D43"/>
    <mergeCell ref="E35:E43"/>
    <mergeCell ref="C2:C43"/>
    <mergeCell ref="D2:D34"/>
    <mergeCell ref="E2:E7"/>
    <mergeCell ref="E8:E16"/>
    <mergeCell ref="E17:E25"/>
    <mergeCell ref="E26:E34"/>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E892-C8FE-4731-A1F5-7FFB12A20EE6}">
  <dimension ref="A1:I36"/>
  <sheetViews>
    <sheetView zoomScale="85" zoomScaleNormal="85" workbookViewId="0">
      <selection activeCell="I36" sqref="I36"/>
    </sheetView>
  </sheetViews>
  <sheetFormatPr defaultRowHeight="16.5" x14ac:dyDescent="0.3"/>
  <cols>
    <col min="1" max="1" width="23" customWidth="1"/>
    <col min="2" max="2" width="28.625" customWidth="1"/>
    <col min="3" max="3" width="29.25" customWidth="1"/>
    <col min="4" max="5" width="21.125" style="36" customWidth="1"/>
    <col min="6" max="6" width="78.25" customWidth="1"/>
    <col min="7" max="9" width="32.625" customWidth="1"/>
  </cols>
  <sheetData>
    <row r="1" spans="1:9" x14ac:dyDescent="0.3">
      <c r="A1" t="s">
        <v>494</v>
      </c>
      <c r="B1" t="s">
        <v>493</v>
      </c>
      <c r="C1" t="s">
        <v>492</v>
      </c>
      <c r="D1" s="36" t="s">
        <v>11</v>
      </c>
      <c r="E1" s="36" t="s">
        <v>73</v>
      </c>
      <c r="F1" t="s">
        <v>491</v>
      </c>
      <c r="G1" t="s">
        <v>490</v>
      </c>
      <c r="H1" t="s">
        <v>489</v>
      </c>
      <c r="I1" t="s">
        <v>488</v>
      </c>
    </row>
    <row r="2" spans="1:9" ht="148.5" x14ac:dyDescent="0.3">
      <c r="A2" s="76" t="s">
        <v>233</v>
      </c>
      <c r="B2" s="76" t="s">
        <v>475</v>
      </c>
      <c r="C2" s="76" t="s">
        <v>323</v>
      </c>
      <c r="D2" s="36" t="s">
        <v>257</v>
      </c>
      <c r="E2" s="36" t="s">
        <v>258</v>
      </c>
      <c r="F2" s="36" t="s">
        <v>487</v>
      </c>
      <c r="G2" s="36" t="s">
        <v>486</v>
      </c>
      <c r="H2" s="36" t="s">
        <v>485</v>
      </c>
      <c r="I2" s="36" t="s">
        <v>484</v>
      </c>
    </row>
    <row r="3" spans="1:9" ht="148.5" x14ac:dyDescent="0.3">
      <c r="A3" s="76" t="s">
        <v>233</v>
      </c>
      <c r="B3" s="76" t="s">
        <v>475</v>
      </c>
      <c r="C3" s="76" t="s">
        <v>324</v>
      </c>
      <c r="D3" s="36" t="s">
        <v>259</v>
      </c>
      <c r="E3" s="36" t="s">
        <v>260</v>
      </c>
      <c r="F3" s="36" t="s">
        <v>483</v>
      </c>
      <c r="G3" s="36" t="s">
        <v>482</v>
      </c>
      <c r="H3" s="36" t="s">
        <v>481</v>
      </c>
      <c r="I3" s="36" t="s">
        <v>480</v>
      </c>
    </row>
    <row r="4" spans="1:9" ht="115.5" x14ac:dyDescent="0.3">
      <c r="A4" s="76" t="s">
        <v>233</v>
      </c>
      <c r="B4" s="76" t="s">
        <v>475</v>
      </c>
      <c r="C4" s="76" t="s">
        <v>324</v>
      </c>
      <c r="D4" s="36" t="s">
        <v>261</v>
      </c>
      <c r="E4" s="36" t="s">
        <v>262</v>
      </c>
      <c r="F4" s="36" t="s">
        <v>479</v>
      </c>
      <c r="G4" s="36" t="s">
        <v>478</v>
      </c>
      <c r="H4" s="36" t="s">
        <v>477</v>
      </c>
      <c r="I4" s="36" t="s">
        <v>476</v>
      </c>
    </row>
    <row r="5" spans="1:9" ht="82.5" x14ac:dyDescent="0.3">
      <c r="A5" s="76" t="s">
        <v>233</v>
      </c>
      <c r="B5" s="76" t="s">
        <v>475</v>
      </c>
      <c r="C5" s="76" t="s">
        <v>324</v>
      </c>
      <c r="D5" s="36" t="s">
        <v>263</v>
      </c>
      <c r="E5" s="36" t="s">
        <v>264</v>
      </c>
      <c r="F5" s="36" t="s">
        <v>474</v>
      </c>
      <c r="G5" s="36" t="s">
        <v>473</v>
      </c>
      <c r="H5" s="36" t="s">
        <v>472</v>
      </c>
      <c r="I5" s="36" t="s">
        <v>471</v>
      </c>
    </row>
    <row r="6" spans="1:9" ht="99" x14ac:dyDescent="0.3">
      <c r="A6" s="76" t="s">
        <v>234</v>
      </c>
      <c r="B6" s="76" t="s">
        <v>243</v>
      </c>
      <c r="C6" s="76" t="s">
        <v>325</v>
      </c>
      <c r="D6" s="36" t="s">
        <v>265</v>
      </c>
      <c r="E6" s="36" t="s">
        <v>266</v>
      </c>
      <c r="F6" s="36" t="s">
        <v>470</v>
      </c>
      <c r="G6" s="36" t="s">
        <v>469</v>
      </c>
      <c r="H6" s="36" t="s">
        <v>468</v>
      </c>
      <c r="I6" s="36" t="s">
        <v>467</v>
      </c>
    </row>
    <row r="7" spans="1:9" ht="82.5" x14ac:dyDescent="0.3">
      <c r="A7" s="76" t="s">
        <v>234</v>
      </c>
      <c r="B7" s="76" t="s">
        <v>243</v>
      </c>
      <c r="C7" s="76" t="s">
        <v>326</v>
      </c>
      <c r="D7" s="36" t="s">
        <v>267</v>
      </c>
      <c r="E7" s="36" t="s">
        <v>268</v>
      </c>
      <c r="F7" s="36" t="s">
        <v>466</v>
      </c>
      <c r="G7" s="36" t="s">
        <v>465</v>
      </c>
      <c r="H7" s="36" t="s">
        <v>464</v>
      </c>
      <c r="I7" s="36" t="s">
        <v>463</v>
      </c>
    </row>
    <row r="8" spans="1:9" ht="82.5" x14ac:dyDescent="0.3">
      <c r="A8" s="76" t="s">
        <v>234</v>
      </c>
      <c r="B8" s="76" t="s">
        <v>243</v>
      </c>
      <c r="C8" s="76" t="s">
        <v>326</v>
      </c>
      <c r="D8" s="36" t="s">
        <v>269</v>
      </c>
      <c r="E8" s="36" t="s">
        <v>270</v>
      </c>
      <c r="F8" s="36" t="s">
        <v>462</v>
      </c>
      <c r="G8" s="36" t="s">
        <v>461</v>
      </c>
      <c r="H8" s="36" t="s">
        <v>460</v>
      </c>
      <c r="I8" s="36" t="s">
        <v>459</v>
      </c>
    </row>
    <row r="9" spans="1:9" ht="82.5" x14ac:dyDescent="0.3">
      <c r="A9" s="76" t="s">
        <v>234</v>
      </c>
      <c r="B9" s="76" t="s">
        <v>243</v>
      </c>
      <c r="C9" s="76" t="s">
        <v>326</v>
      </c>
      <c r="D9" s="36" t="s">
        <v>271</v>
      </c>
      <c r="E9" s="36" t="s">
        <v>272</v>
      </c>
      <c r="F9" s="36" t="s">
        <v>458</v>
      </c>
      <c r="G9" s="36" t="s">
        <v>457</v>
      </c>
      <c r="H9" s="36" t="s">
        <v>456</v>
      </c>
      <c r="I9" s="36" t="s">
        <v>455</v>
      </c>
    </row>
    <row r="10" spans="1:9" ht="132" x14ac:dyDescent="0.3">
      <c r="A10" s="76" t="s">
        <v>235</v>
      </c>
      <c r="B10" s="76" t="s">
        <v>244</v>
      </c>
      <c r="C10" s="76" t="s">
        <v>327</v>
      </c>
      <c r="D10" s="36" t="s">
        <v>273</v>
      </c>
      <c r="E10" s="36" t="s">
        <v>274</v>
      </c>
      <c r="F10" s="36" t="s">
        <v>454</v>
      </c>
      <c r="G10" s="36" t="s">
        <v>453</v>
      </c>
      <c r="H10" s="36" t="s">
        <v>452</v>
      </c>
      <c r="I10" s="36" t="s">
        <v>451</v>
      </c>
    </row>
    <row r="11" spans="1:9" ht="99" x14ac:dyDescent="0.3">
      <c r="A11" s="76" t="s">
        <v>235</v>
      </c>
      <c r="B11" s="76" t="s">
        <v>244</v>
      </c>
      <c r="C11" s="76" t="s">
        <v>328</v>
      </c>
      <c r="D11" s="36" t="s">
        <v>275</v>
      </c>
      <c r="E11" s="36" t="s">
        <v>276</v>
      </c>
      <c r="F11" s="36" t="s">
        <v>450</v>
      </c>
      <c r="G11" s="36" t="s">
        <v>449</v>
      </c>
      <c r="H11" s="36" t="s">
        <v>448</v>
      </c>
      <c r="I11" s="36" t="s">
        <v>447</v>
      </c>
    </row>
    <row r="12" spans="1:9" ht="115.5" x14ac:dyDescent="0.3">
      <c r="A12" s="76" t="s">
        <v>235</v>
      </c>
      <c r="B12" s="76" t="s">
        <v>244</v>
      </c>
      <c r="C12" s="76" t="s">
        <v>328</v>
      </c>
      <c r="D12" s="36" t="s">
        <v>277</v>
      </c>
      <c r="E12" s="36" t="s">
        <v>278</v>
      </c>
      <c r="F12" s="36" t="s">
        <v>446</v>
      </c>
      <c r="G12" s="36" t="s">
        <v>445</v>
      </c>
      <c r="H12" s="36" t="s">
        <v>444</v>
      </c>
      <c r="I12" s="36" t="s">
        <v>443</v>
      </c>
    </row>
    <row r="13" spans="1:9" ht="132" x14ac:dyDescent="0.3">
      <c r="A13" s="76" t="s">
        <v>235</v>
      </c>
      <c r="B13" s="76" t="s">
        <v>244</v>
      </c>
      <c r="C13" s="76" t="s">
        <v>328</v>
      </c>
      <c r="D13" s="36" t="s">
        <v>279</v>
      </c>
      <c r="E13" s="36" t="s">
        <v>280</v>
      </c>
      <c r="F13" s="36" t="s">
        <v>442</v>
      </c>
      <c r="G13" s="36" t="s">
        <v>441</v>
      </c>
      <c r="H13" s="36" t="s">
        <v>440</v>
      </c>
      <c r="I13" s="36" t="s">
        <v>439</v>
      </c>
    </row>
    <row r="14" spans="1:9" ht="115.5" x14ac:dyDescent="0.3">
      <c r="A14" s="76" t="s">
        <v>235</v>
      </c>
      <c r="B14" s="76" t="s">
        <v>244</v>
      </c>
      <c r="C14" s="76" t="s">
        <v>328</v>
      </c>
      <c r="D14" s="36" t="s">
        <v>281</v>
      </c>
      <c r="E14" s="36" t="s">
        <v>282</v>
      </c>
      <c r="F14" s="36" t="s">
        <v>438</v>
      </c>
      <c r="G14" s="36" t="s">
        <v>437</v>
      </c>
      <c r="H14" s="36" t="s">
        <v>436</v>
      </c>
      <c r="I14" s="36" t="s">
        <v>435</v>
      </c>
    </row>
    <row r="15" spans="1:9" ht="99" x14ac:dyDescent="0.3">
      <c r="A15" s="76" t="s">
        <v>236</v>
      </c>
      <c r="B15" s="76" t="s">
        <v>245</v>
      </c>
      <c r="C15" s="76" t="s">
        <v>329</v>
      </c>
      <c r="D15" s="36" t="s">
        <v>283</v>
      </c>
      <c r="E15" s="36" t="s">
        <v>284</v>
      </c>
      <c r="F15" s="36" t="s">
        <v>434</v>
      </c>
      <c r="G15" s="36" t="s">
        <v>433</v>
      </c>
      <c r="H15" s="36" t="s">
        <v>432</v>
      </c>
      <c r="I15" s="36" t="s">
        <v>431</v>
      </c>
    </row>
    <row r="16" spans="1:9" ht="115.5" x14ac:dyDescent="0.3">
      <c r="A16" s="76" t="s">
        <v>236</v>
      </c>
      <c r="B16" s="76" t="s">
        <v>245</v>
      </c>
      <c r="C16" s="76" t="s">
        <v>330</v>
      </c>
      <c r="D16" s="36" t="s">
        <v>285</v>
      </c>
      <c r="E16" s="36" t="s">
        <v>286</v>
      </c>
      <c r="F16" s="36" t="s">
        <v>430</v>
      </c>
      <c r="G16" s="36" t="s">
        <v>429</v>
      </c>
      <c r="H16" s="36" t="s">
        <v>428</v>
      </c>
      <c r="I16" s="36" t="s">
        <v>427</v>
      </c>
    </row>
    <row r="17" spans="1:9" ht="115.5" x14ac:dyDescent="0.3">
      <c r="A17" s="76" t="s">
        <v>236</v>
      </c>
      <c r="B17" s="76" t="s">
        <v>245</v>
      </c>
      <c r="C17" s="76" t="s">
        <v>330</v>
      </c>
      <c r="D17" s="36" t="s">
        <v>287</v>
      </c>
      <c r="E17" s="36" t="s">
        <v>288</v>
      </c>
      <c r="F17" s="36" t="s">
        <v>426</v>
      </c>
      <c r="G17" s="36" t="s">
        <v>425</v>
      </c>
      <c r="H17" s="36" t="s">
        <v>424</v>
      </c>
      <c r="I17" s="36" t="s">
        <v>423</v>
      </c>
    </row>
    <row r="18" spans="1:9" ht="115.5" x14ac:dyDescent="0.3">
      <c r="A18" s="76" t="s">
        <v>236</v>
      </c>
      <c r="B18" s="76" t="s">
        <v>245</v>
      </c>
      <c r="C18" s="76" t="s">
        <v>330</v>
      </c>
      <c r="D18" s="36" t="s">
        <v>289</v>
      </c>
      <c r="E18" s="36" t="s">
        <v>290</v>
      </c>
      <c r="F18" s="36" t="s">
        <v>422</v>
      </c>
      <c r="G18" s="36" t="s">
        <v>421</v>
      </c>
      <c r="H18" s="36" t="s">
        <v>420</v>
      </c>
      <c r="I18" s="36" t="s">
        <v>419</v>
      </c>
    </row>
    <row r="19" spans="1:9" ht="99" x14ac:dyDescent="0.3">
      <c r="A19" s="76" t="s">
        <v>237</v>
      </c>
      <c r="B19" s="76" t="s">
        <v>246</v>
      </c>
      <c r="C19" s="76" t="s">
        <v>331</v>
      </c>
      <c r="D19" s="36" t="s">
        <v>291</v>
      </c>
      <c r="E19" s="36" t="s">
        <v>292</v>
      </c>
      <c r="F19" s="36" t="s">
        <v>418</v>
      </c>
      <c r="G19" s="36" t="s">
        <v>417</v>
      </c>
      <c r="H19" s="36" t="s">
        <v>416</v>
      </c>
      <c r="I19" s="36" t="s">
        <v>415</v>
      </c>
    </row>
    <row r="20" spans="1:9" ht="82.5" x14ac:dyDescent="0.3">
      <c r="A20" s="76" t="s">
        <v>237</v>
      </c>
      <c r="B20" s="76" t="s">
        <v>246</v>
      </c>
      <c r="C20" s="76" t="s">
        <v>332</v>
      </c>
      <c r="D20" s="36" t="s">
        <v>293</v>
      </c>
      <c r="E20" s="36" t="s">
        <v>294</v>
      </c>
      <c r="F20" s="36" t="s">
        <v>414</v>
      </c>
      <c r="G20" s="36" t="s">
        <v>413</v>
      </c>
      <c r="H20" s="36" t="s">
        <v>412</v>
      </c>
      <c r="I20" s="36" t="s">
        <v>411</v>
      </c>
    </row>
    <row r="21" spans="1:9" ht="82.5" x14ac:dyDescent="0.3">
      <c r="A21" s="76" t="s">
        <v>237</v>
      </c>
      <c r="B21" s="76" t="s">
        <v>246</v>
      </c>
      <c r="C21" s="76" t="s">
        <v>332</v>
      </c>
      <c r="D21" s="36" t="s">
        <v>295</v>
      </c>
      <c r="E21" s="36" t="s">
        <v>296</v>
      </c>
      <c r="F21" s="36" t="s">
        <v>410</v>
      </c>
      <c r="G21" s="36" t="s">
        <v>409</v>
      </c>
      <c r="H21" s="36" t="s">
        <v>408</v>
      </c>
      <c r="I21" s="36" t="s">
        <v>407</v>
      </c>
    </row>
    <row r="22" spans="1:9" ht="115.5" x14ac:dyDescent="0.3">
      <c r="A22" s="76" t="s">
        <v>237</v>
      </c>
      <c r="B22" s="76" t="s">
        <v>246</v>
      </c>
      <c r="C22" s="76" t="s">
        <v>332</v>
      </c>
      <c r="D22" s="36" t="s">
        <v>297</v>
      </c>
      <c r="E22" s="36" t="s">
        <v>298</v>
      </c>
      <c r="F22" s="36" t="s">
        <v>406</v>
      </c>
      <c r="G22" s="36" t="s">
        <v>405</v>
      </c>
      <c r="H22" s="36" t="s">
        <v>404</v>
      </c>
      <c r="I22" s="36" t="s">
        <v>403</v>
      </c>
    </row>
    <row r="23" spans="1:9" ht="99" x14ac:dyDescent="0.3">
      <c r="A23" s="76" t="s">
        <v>238</v>
      </c>
      <c r="B23" s="76" t="s">
        <v>247</v>
      </c>
      <c r="C23" s="76" t="s">
        <v>333</v>
      </c>
      <c r="D23" s="36" t="s">
        <v>299</v>
      </c>
      <c r="E23" s="36" t="s">
        <v>300</v>
      </c>
      <c r="F23" s="36" t="s">
        <v>402</v>
      </c>
      <c r="G23" s="36" t="s">
        <v>401</v>
      </c>
      <c r="H23" s="36" t="s">
        <v>400</v>
      </c>
      <c r="I23" s="36" t="s">
        <v>399</v>
      </c>
    </row>
    <row r="24" spans="1:9" ht="99" x14ac:dyDescent="0.3">
      <c r="A24" s="76" t="s">
        <v>238</v>
      </c>
      <c r="B24" s="76" t="s">
        <v>247</v>
      </c>
      <c r="C24" s="76" t="s">
        <v>334</v>
      </c>
      <c r="D24" s="36" t="s">
        <v>301</v>
      </c>
      <c r="E24" s="36" t="s">
        <v>302</v>
      </c>
      <c r="F24" s="36" t="s">
        <v>398</v>
      </c>
      <c r="G24" s="36" t="s">
        <v>397</v>
      </c>
      <c r="H24" s="36" t="s">
        <v>396</v>
      </c>
      <c r="I24" s="36" t="s">
        <v>395</v>
      </c>
    </row>
    <row r="25" spans="1:9" ht="99" x14ac:dyDescent="0.3">
      <c r="A25" s="76" t="s">
        <v>238</v>
      </c>
      <c r="B25" s="76" t="s">
        <v>247</v>
      </c>
      <c r="C25" s="76" t="s">
        <v>334</v>
      </c>
      <c r="D25" s="36" t="s">
        <v>303</v>
      </c>
      <c r="E25" s="36" t="s">
        <v>304</v>
      </c>
      <c r="F25" s="36" t="s">
        <v>394</v>
      </c>
      <c r="G25" s="36" t="s">
        <v>393</v>
      </c>
      <c r="H25" s="36" t="s">
        <v>392</v>
      </c>
      <c r="I25" s="36" t="s">
        <v>391</v>
      </c>
    </row>
    <row r="26" spans="1:9" ht="82.5" x14ac:dyDescent="0.3">
      <c r="A26" s="76" t="s">
        <v>238</v>
      </c>
      <c r="B26" s="76" t="s">
        <v>247</v>
      </c>
      <c r="C26" s="76" t="s">
        <v>334</v>
      </c>
      <c r="D26" s="36" t="s">
        <v>305</v>
      </c>
      <c r="E26" s="36" t="s">
        <v>306</v>
      </c>
      <c r="F26" s="36" t="s">
        <v>390</v>
      </c>
      <c r="G26" s="36" t="s">
        <v>389</v>
      </c>
      <c r="H26" s="36" t="s">
        <v>388</v>
      </c>
      <c r="I26" s="36" t="s">
        <v>387</v>
      </c>
    </row>
    <row r="27" spans="1:9" ht="99" x14ac:dyDescent="0.3">
      <c r="A27" s="76" t="s">
        <v>239</v>
      </c>
      <c r="B27" s="76" t="s">
        <v>248</v>
      </c>
      <c r="C27" s="76" t="s">
        <v>335</v>
      </c>
      <c r="D27" s="36" t="s">
        <v>307</v>
      </c>
      <c r="E27" s="36" t="s">
        <v>308</v>
      </c>
      <c r="F27" s="36" t="s">
        <v>386</v>
      </c>
      <c r="G27" s="36" t="s">
        <v>385</v>
      </c>
      <c r="H27" s="36" t="s">
        <v>384</v>
      </c>
      <c r="I27" s="36" t="s">
        <v>383</v>
      </c>
    </row>
    <row r="28" spans="1:9" ht="99" x14ac:dyDescent="0.3">
      <c r="A28" s="76" t="s">
        <v>239</v>
      </c>
      <c r="B28" s="76" t="s">
        <v>248</v>
      </c>
      <c r="C28" s="76" t="s">
        <v>336</v>
      </c>
      <c r="D28" s="36" t="s">
        <v>309</v>
      </c>
      <c r="E28" s="36" t="s">
        <v>310</v>
      </c>
      <c r="F28" s="36" t="s">
        <v>382</v>
      </c>
      <c r="G28" s="36" t="s">
        <v>381</v>
      </c>
      <c r="H28" s="36" t="s">
        <v>380</v>
      </c>
      <c r="I28" s="36" t="s">
        <v>379</v>
      </c>
    </row>
    <row r="29" spans="1:9" ht="82.5" x14ac:dyDescent="0.3">
      <c r="A29" s="76" t="s">
        <v>239</v>
      </c>
      <c r="B29" s="76" t="s">
        <v>248</v>
      </c>
      <c r="C29" s="76" t="s">
        <v>336</v>
      </c>
      <c r="D29" s="36" t="s">
        <v>311</v>
      </c>
      <c r="E29" s="36" t="s">
        <v>312</v>
      </c>
      <c r="F29" s="36" t="s">
        <v>378</v>
      </c>
      <c r="G29" s="36" t="s">
        <v>377</v>
      </c>
      <c r="H29" s="36" t="s">
        <v>376</v>
      </c>
      <c r="I29" s="36" t="s">
        <v>375</v>
      </c>
    </row>
    <row r="30" spans="1:9" ht="115.5" x14ac:dyDescent="0.3">
      <c r="A30" s="76" t="s">
        <v>239</v>
      </c>
      <c r="B30" s="76" t="s">
        <v>248</v>
      </c>
      <c r="C30" s="76" t="s">
        <v>336</v>
      </c>
      <c r="D30" s="36" t="s">
        <v>313</v>
      </c>
      <c r="E30" s="36" t="s">
        <v>314</v>
      </c>
      <c r="F30" s="36" t="s">
        <v>374</v>
      </c>
      <c r="G30" s="36" t="s">
        <v>373</v>
      </c>
      <c r="H30" s="36" t="s">
        <v>372</v>
      </c>
      <c r="I30" s="36" t="s">
        <v>371</v>
      </c>
    </row>
    <row r="31" spans="1:9" ht="115.5" x14ac:dyDescent="0.3">
      <c r="A31" s="76" t="s">
        <v>240</v>
      </c>
      <c r="B31" s="76" t="s">
        <v>249</v>
      </c>
      <c r="C31" s="76" t="s">
        <v>337</v>
      </c>
      <c r="D31" s="36" t="s">
        <v>315</v>
      </c>
      <c r="E31" s="36" t="s">
        <v>316</v>
      </c>
      <c r="F31" s="36" t="s">
        <v>370</v>
      </c>
      <c r="G31" s="36" t="s">
        <v>369</v>
      </c>
      <c r="H31" s="36" t="s">
        <v>368</v>
      </c>
      <c r="I31" s="36" t="s">
        <v>367</v>
      </c>
    </row>
    <row r="32" spans="1:9" ht="99" x14ac:dyDescent="0.3">
      <c r="A32" s="76" t="s">
        <v>240</v>
      </c>
      <c r="B32" s="76" t="s">
        <v>249</v>
      </c>
      <c r="C32" s="76" t="s">
        <v>338</v>
      </c>
      <c r="D32" s="36" t="s">
        <v>317</v>
      </c>
      <c r="E32" s="36" t="s">
        <v>318</v>
      </c>
      <c r="F32" s="36" t="s">
        <v>366</v>
      </c>
      <c r="G32" s="36" t="s">
        <v>365</v>
      </c>
      <c r="H32" s="36" t="s">
        <v>364</v>
      </c>
      <c r="I32" s="36" t="s">
        <v>363</v>
      </c>
    </row>
    <row r="33" spans="1:9" ht="115.5" x14ac:dyDescent="0.3">
      <c r="A33" s="76" t="s">
        <v>240</v>
      </c>
      <c r="B33" s="76" t="s">
        <v>249</v>
      </c>
      <c r="C33" s="76" t="s">
        <v>338</v>
      </c>
      <c r="D33" s="36" t="s">
        <v>319</v>
      </c>
      <c r="E33" s="36" t="s">
        <v>320</v>
      </c>
      <c r="F33" s="36" t="s">
        <v>362</v>
      </c>
      <c r="G33" s="36" t="s">
        <v>361</v>
      </c>
      <c r="H33" s="36" t="s">
        <v>360</v>
      </c>
      <c r="I33" s="36" t="s">
        <v>359</v>
      </c>
    </row>
    <row r="34" spans="1:9" ht="115.5" x14ac:dyDescent="0.3">
      <c r="A34" s="76" t="s">
        <v>240</v>
      </c>
      <c r="B34" s="76" t="s">
        <v>249</v>
      </c>
      <c r="C34" s="76" t="s">
        <v>338</v>
      </c>
      <c r="D34" s="36" t="s">
        <v>321</v>
      </c>
      <c r="E34" s="36" t="s">
        <v>322</v>
      </c>
      <c r="F34" s="36" t="s">
        <v>358</v>
      </c>
      <c r="G34" s="36" t="s">
        <v>357</v>
      </c>
      <c r="H34" s="36" t="s">
        <v>356</v>
      </c>
      <c r="I34" s="36" t="s">
        <v>355</v>
      </c>
    </row>
    <row r="35" spans="1:9" ht="115.5" x14ac:dyDescent="0.3">
      <c r="A35" s="76" t="s">
        <v>241</v>
      </c>
      <c r="B35" s="76" t="s">
        <v>250</v>
      </c>
      <c r="C35" s="76" t="s">
        <v>339</v>
      </c>
      <c r="D35" s="36" t="s">
        <v>340</v>
      </c>
      <c r="E35" s="36" t="s">
        <v>341</v>
      </c>
      <c r="F35" s="36" t="s">
        <v>354</v>
      </c>
      <c r="G35" s="36" t="s">
        <v>353</v>
      </c>
      <c r="H35" s="36" t="s">
        <v>352</v>
      </c>
      <c r="I35" s="36" t="s">
        <v>351</v>
      </c>
    </row>
    <row r="36" spans="1:9" ht="82.5" x14ac:dyDescent="0.3">
      <c r="A36" s="76" t="s">
        <v>241</v>
      </c>
      <c r="B36" s="76" t="s">
        <v>250</v>
      </c>
      <c r="C36" s="76" t="s">
        <v>339</v>
      </c>
      <c r="D36" s="36" t="s">
        <v>342</v>
      </c>
      <c r="E36" s="36" t="s">
        <v>343</v>
      </c>
      <c r="F36" s="36" t="s">
        <v>350</v>
      </c>
      <c r="G36" s="36" t="s">
        <v>349</v>
      </c>
      <c r="H36" s="36" t="s">
        <v>348</v>
      </c>
      <c r="I36" s="36" t="s">
        <v>347</v>
      </c>
    </row>
  </sheetData>
  <mergeCells count="27">
    <mergeCell ref="A35:A36"/>
    <mergeCell ref="B35:B36"/>
    <mergeCell ref="C35:C36"/>
    <mergeCell ref="A27:A30"/>
    <mergeCell ref="B27:B30"/>
    <mergeCell ref="C27:C30"/>
    <mergeCell ref="A31:A34"/>
    <mergeCell ref="B31:B34"/>
    <mergeCell ref="C31:C34"/>
    <mergeCell ref="A19:A22"/>
    <mergeCell ref="B19:B22"/>
    <mergeCell ref="C19:C22"/>
    <mergeCell ref="A23:A26"/>
    <mergeCell ref="B23:B26"/>
    <mergeCell ref="C23:C26"/>
    <mergeCell ref="A10:A14"/>
    <mergeCell ref="B10:B14"/>
    <mergeCell ref="C10:C14"/>
    <mergeCell ref="A15:A18"/>
    <mergeCell ref="B15:B18"/>
    <mergeCell ref="C15:C18"/>
    <mergeCell ref="B2:B5"/>
    <mergeCell ref="C2:C5"/>
    <mergeCell ref="A2:A5"/>
    <mergeCell ref="A6:A9"/>
    <mergeCell ref="B6:B9"/>
    <mergeCell ref="C6:C9"/>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BF88-8E48-464D-9823-EC5FE7C80277}">
  <dimension ref="B1:C28"/>
  <sheetViews>
    <sheetView workbookViewId="0">
      <selection activeCell="C45" sqref="C45"/>
    </sheetView>
  </sheetViews>
  <sheetFormatPr defaultRowHeight="16.5" x14ac:dyDescent="0.3"/>
  <cols>
    <col min="1" max="1" width="10" customWidth="1"/>
    <col min="2" max="2" width="33.25" customWidth="1"/>
    <col min="3" max="3" width="124.125" customWidth="1"/>
  </cols>
  <sheetData>
    <row r="1" spans="2:3" x14ac:dyDescent="0.3">
      <c r="B1" s="27" t="s">
        <v>72</v>
      </c>
      <c r="C1" s="27" t="s">
        <v>71</v>
      </c>
    </row>
    <row r="2" spans="2:3" x14ac:dyDescent="0.3">
      <c r="B2" s="25" t="s">
        <v>70</v>
      </c>
      <c r="C2" t="e">
        <f>VLOOKUP(B2,통합!$I$2:$J$3,3,FALSE)</f>
        <v>#N/A</v>
      </c>
    </row>
    <row r="3" spans="2:3" x14ac:dyDescent="0.2">
      <c r="B3" s="26" t="s">
        <v>69</v>
      </c>
      <c r="C3" t="e">
        <f>VLOOKUP(B3,통합!$I$2:$J$3,3,FALSE)</f>
        <v>#N/A</v>
      </c>
    </row>
    <row r="4" spans="2:3" x14ac:dyDescent="0.2">
      <c r="B4" s="26" t="s">
        <v>68</v>
      </c>
      <c r="C4" t="e">
        <f>VLOOKUP(B4,통합!$I$2:$J$3,3,FALSE)</f>
        <v>#N/A</v>
      </c>
    </row>
    <row r="5" spans="2:3" x14ac:dyDescent="0.3">
      <c r="B5" s="25" t="s">
        <v>67</v>
      </c>
      <c r="C5" t="e">
        <f>VLOOKUP(B5,통합!$I$2:$J$3,3,FALSE)</f>
        <v>#N/A</v>
      </c>
    </row>
    <row r="6" spans="2:3" x14ac:dyDescent="0.3">
      <c r="B6" s="25" t="s">
        <v>66</v>
      </c>
      <c r="C6" t="e">
        <f>VLOOKUP(B6,통합!$I$2:$J$3,3,FALSE)</f>
        <v>#N/A</v>
      </c>
    </row>
    <row r="7" spans="2:3" x14ac:dyDescent="0.3">
      <c r="B7" s="24"/>
      <c r="C7" t="e">
        <f>VLOOKUP(B7,통합!$I$2:$J$3,3,FALSE)</f>
        <v>#N/A</v>
      </c>
    </row>
    <row r="8" spans="2:3" x14ac:dyDescent="0.3">
      <c r="B8" s="24"/>
      <c r="C8" t="e">
        <f>VLOOKUP(B8,통합!$I$2:$J$3,3,FALSE)</f>
        <v>#N/A</v>
      </c>
    </row>
    <row r="9" spans="2:3" x14ac:dyDescent="0.3">
      <c r="B9" s="24"/>
      <c r="C9" t="e">
        <f>VLOOKUP(B9,통합!$I$2:$J$3,3,FALSE)</f>
        <v>#N/A</v>
      </c>
    </row>
    <row r="10" spans="2:3" x14ac:dyDescent="0.3">
      <c r="B10" s="24"/>
      <c r="C10" t="e">
        <f>VLOOKUP(B10,통합!$I$2:$J$3,3,FALSE)</f>
        <v>#N/A</v>
      </c>
    </row>
    <row r="11" spans="2:3" x14ac:dyDescent="0.3">
      <c r="B11" s="23"/>
      <c r="C11" t="e">
        <f>VLOOKUP(B11,통합!$I$2:$J$3,3,FALSE)</f>
        <v>#N/A</v>
      </c>
    </row>
    <row r="24" spans="2:2" x14ac:dyDescent="0.3">
      <c r="B24" s="19" t="s">
        <v>56</v>
      </c>
    </row>
    <row r="25" spans="2:2" x14ac:dyDescent="0.3">
      <c r="B25" s="19" t="s">
        <v>59</v>
      </c>
    </row>
    <row r="26" spans="2:2" x14ac:dyDescent="0.3">
      <c r="B26" s="19" t="s">
        <v>58</v>
      </c>
    </row>
    <row r="27" spans="2:2" x14ac:dyDescent="0.3">
      <c r="B27" s="19" t="s">
        <v>57</v>
      </c>
    </row>
    <row r="28" spans="2:2" x14ac:dyDescent="0.3">
      <c r="B28" s="19" t="s">
        <v>55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641F29A2FCB4BF44867460332616C736" ma:contentTypeVersion="4" ma:contentTypeDescription="새 문서를 만듭니다." ma:contentTypeScope="" ma:versionID="011a6a027feec9eeaeb7a7c9212dd295">
  <xsd:schema xmlns:xsd="http://www.w3.org/2001/XMLSchema" xmlns:xs="http://www.w3.org/2001/XMLSchema" xmlns:p="http://schemas.microsoft.com/office/2006/metadata/properties" xmlns:ns3="66ee1e75-d50c-4d7f-94ac-4b2792996d58" targetNamespace="http://schemas.microsoft.com/office/2006/metadata/properties" ma:root="true" ma:fieldsID="4c6680f60bacd7c07f86c88e5a2612c6" ns3:_="">
    <xsd:import namespace="66ee1e75-d50c-4d7f-94ac-4b2792996d5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e1e75-d50c-4d7f-94ac-4b2792996d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C0F8DE-C0F7-43D6-AFA8-337E9E789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e1e75-d50c-4d7f-94ac-4b2792996d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EDF753-CC12-4DB8-8B28-98D8B07EF720}">
  <ds:schemaRefs>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microsoft.com/office/2006/metadata/properties"/>
    <ds:schemaRef ds:uri="http://www.w3.org/XML/1998/namespace"/>
    <ds:schemaRef ds:uri="http://schemas.openxmlformats.org/package/2006/metadata/core-properties"/>
    <ds:schemaRef ds:uri="66ee1e75-d50c-4d7f-94ac-4b2792996d58"/>
  </ds:schemaRefs>
</ds:datastoreItem>
</file>

<file path=customXml/itemProps3.xml><?xml version="1.0" encoding="utf-8"?>
<ds:datastoreItem xmlns:ds="http://schemas.openxmlformats.org/officeDocument/2006/customXml" ds:itemID="{CE862AED-A520-4283-BECC-CCF4F6EF6D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●프롬프트</vt:lpstr>
      <vt:lpstr>1-AFX1 리터러시</vt:lpstr>
      <vt:lpstr>2-AFX-2 데이터</vt:lpstr>
      <vt:lpstr>3-AFX-3 워크플로우</vt:lpstr>
      <vt:lpstr>4-ALX QA</vt:lpstr>
      <vt:lpstr>5-ALX RA</vt:lpstr>
      <vt:lpstr>6-ALX R&amp;D</vt:lpstr>
      <vt:lpstr>7-ALX DATA</vt:lpstr>
      <vt:lpstr>탬플릿-기준</vt:lpstr>
      <vt:lpstr>탬플릿</vt:lpstr>
      <vt:lpstr>탬플릿(클린)</vt:lpstr>
      <vt:lpstr>통합</vt:lpstr>
      <vt:lpstr>세부능력단위</vt:lpstr>
      <vt:lpstr>진단-능력단위자동설명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임세영</dc:creator>
  <cp:lastModifiedBy>DanteHome</cp:lastModifiedBy>
  <dcterms:created xsi:type="dcterms:W3CDTF">2024-08-01T06:41:06Z</dcterms:created>
  <dcterms:modified xsi:type="dcterms:W3CDTF">2026-02-22T07:24:09Z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0x010100641F29A2FCB4BF44867460332616C736</vt:lpwstr>
  </property>
</Properties>
</file>